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a58547eb9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5c095a5e0814d68"/>
    <x:sheet xmlns:r="http://schemas.openxmlformats.org/officeDocument/2006/relationships" name="Adaylar" sheetId="2" r:id="Rbf8896686e154936"/>
    <x:sheet xmlns:r="http://schemas.openxmlformats.org/officeDocument/2006/relationships" name="Resmî Kaynaklar" sheetId="3" r:id="R80ee23cc25fb4519"/>
    <x:sheet xmlns:r="http://schemas.openxmlformats.org/officeDocument/2006/relationships" name="Aktarım Kuralları" sheetId="4" r:id="Re1c0bc0ad941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  <x:font>
      <x:sz val="11"/>
      <x:color rgb="FF824D12"/>
      <x:name val="Carlito"/>
    </x:font>
    <x:font>
      <x:b/>
      <x:sz val="17"/>
      <x:color rgb="FFFFFFFF"/>
      <x:name val="Carlito"/>
    </x:font>
    <x:font>
      <x:b/>
      <x:sz val="11"/>
      <x:color rgb="FF8D4715"/>
      <x:name val="Carlito"/>
    </x:font>
    <x:font>
      <x:b/>
      <x:sz val="11"/>
      <x:color rgb="FF0D4F60"/>
      <x:name val="Carlito"/>
    </x:font>
    <x:font>
      <x:b/>
      <x:sz val="17"/>
      <x:color rgb="FF0C465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C465B"/>
      </x:patternFill>
    </x:fill>
    <x:fill>
      <x:patternFill patternType="solid">
        <x:fgColor rgb="FFFDE9E7"/>
      </x:patternFill>
    </x:fill>
    <x:fill>
      <x:patternFill patternType="solid">
        <x:fgColor rgb="FFFFF1D0"/>
      </x:patternFill>
    </x:fill>
    <x:fill>
      <x:patternFill patternType="solid">
        <x:fgColor rgb="FF083D53"/>
      </x:patternFill>
    </x:fill>
    <x:fill>
      <x:patternFill patternType="solid">
        <x:fgColor rgb="FFFDE9BD"/>
      </x:patternFill>
    </x:fill>
    <x:fill>
      <x:patternFill patternType="solid">
        <x:fgColor rgb="FFDCECE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5538200d744a7" /><Relationship Type="http://schemas.openxmlformats.org/officeDocument/2006/relationships/theme" Target="/xl/theme/theme1.xml" Id="Rd87029aae6664ea1" /><Relationship Type="http://schemas.openxmlformats.org/officeDocument/2006/relationships/sharedStrings" Target="/xl/sharedStrings.xml" Id="Rd05ca61452a94ed8" /><Relationship Type="http://schemas.openxmlformats.org/officeDocument/2006/relationships/worksheet" Target="/xl/worksheets/sheet1.xml" Id="Rd5c095a5e0814d68" /><Relationship Type="http://schemas.openxmlformats.org/officeDocument/2006/relationships/worksheet" Target="/xl/worksheets/sheet2.xml" Id="Rbf8896686e154936" /><Relationship Type="http://schemas.openxmlformats.org/officeDocument/2006/relationships/worksheet" Target="/xl/worksheets/sheet3.xml" Id="R80ee23cc25fb4519" /><Relationship Type="http://schemas.openxmlformats.org/officeDocument/2006/relationships/worksheet" Target="/xl/worksheets/sheet4.xml" Id="Re1c0bc0ad94144f5" /></Relationships>
</file>

<file path=xl/tables/table1.xml><?xml version="1.0" encoding="utf-8"?>
<x:table xmlns:x="http://schemas.openxmlformats.org/spreadsheetml/2006/main" id="1" name="AlumasBatch3Candidates" displayName="AlumasBatch3Candidates" ref="A1:W54" headerRowCount="1" totalsRowCount="0" totalsRowShown="0">
  <x:tableColumns count="23">
    <x:tableColumn id="1" name="Aday ID"/>
    <x:tableColumn id="2" name="Kurum Adı"/>
    <x:tableColumn id="3" name="Tür"/>
    <x:tableColumn id="4" name="İl"/>
    <x:tableColumn id="5" name="Güncel İlçe (teyitli)"/>
    <x:tableColumn id="6" name="Güncel Adres (teyitli)"/>
    <x:tableColumn id="7" name="Resmî Site Bağlantısı"/>
    <x:tableColumn id="8" name="Site Bağlantısı Kanıtı"/>
    <x:tableColumn id="9" name="Kaynak URL"/>
    <x:tableColumn id="10" name="Kaynak Sayfa Tarihi"/>
    <x:tableColumn id="11" name="Faaliyet Kanıt Durumu"/>
    <x:tableColumn id="12" name="İBB Eşleşme Durumu"/>
    <x:tableColumn id="13" name="İBB Tarihî Ad"/>
    <x:tableColumn id="14" name="İBB Tarihî İlçe"/>
    <x:tableColumn id="15" name="İBB Tarihî Adres"/>
    <x:tableColumn id="16" name="İBB Tarihî Enlem"/>
    <x:tableColumn id="17" name="İBB Tarihî Boylam"/>
    <x:tableColumn id="18" name="Canlı DB Eşleşmesi"/>
    <x:tableColumn id="19" name="Aktarım Uygunluğu"/>
    <x:tableColumn id="20" name="Ek 2026 Kanıtı"/>
    <x:tableColumn id="21" name="Risk Etiketleri"/>
    <x:tableColumn id="22" name="İnceleme Notu"/>
    <x:tableColumn id="23" name="Kar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66936920c840e6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45" customHeight="1">
      <x:c r="A1" s="19" t="str">
        <x:v>ALUMAS   |   BATCH 3  •  RESMÎ KAYNAK ARAŞTIRMASI</x:v>
      </x:c>
      <x:c r="B1" s="19"/>
      <x:c r="C1" s="19"/>
      <x:c r="D1" s="19"/>
      <x:c r="E1" s="19"/>
      <x:c r="F1" s="19"/>
      <x:c r="G1" s="19"/>
      <x:c r="H1" s="19"/>
    </x:row>
    <x:row r="3" ht="35" customHeight="1">
      <x:c r="A3" s="23" t="str">
        <x:v>ÖN İNCELEME — CANLI VERİTABANINA AKTARILAMAZ</x:v>
      </x:c>
      <x:c r="B3" s="23"/>
      <x:c r="C3" s="23"/>
      <x:c r="D3" s="23"/>
      <x:c r="E3" s="23"/>
      <x:c r="F3" s="23"/>
      <x:c r="G3" s="23"/>
      <x:c r="H3" s="23"/>
    </x:row>
    <x:row r="5" ht="30" customHeight="1">
      <x:c r="A5" s="27" t="str">
        <x:v>Aday</x:v>
      </x:c>
      <x:c r="B5" s="27" t="str">
        <x:v>Aktarıma hazır</x:v>
      </x:c>
      <x:c r="C5" s="27" t="str">
        <x:v>İBB tek eşleşme</x:v>
      </x:c>
      <x:c r="D5" s="27" t="str">
        <x:v>İBB çoklu eşleşme</x:v>
      </x:c>
      <x:c r="E5" s="27" t="str">
        <x:v>İBB eşleşme yok</x:v>
      </x:c>
    </x:row>
    <x:row r="6" ht="40" customHeight="1">
      <x:c r="A6" s="30" t="n">
        <x:f>COUNTA(Adaylar!A2:A54)</x:f>
        <x:v>53</x:v>
      </x:c>
      <x:c r="B6" s="30" t="n">
        <x:f>COUNTIF(Adaylar!S2:S54,"YES")</x:f>
        <x:v>0</x:v>
      </x:c>
      <x:c r="C6" s="30" t="n">
        <x:f>COUNTIF(Adaylar!L2:L54,"HISTORICAL_IBB_MATCH")</x:f>
        <x:v>42</x:v>
      </x:c>
      <x:c r="D6" s="30" t="n">
        <x:f>COUNTIF(Adaylar!L2:L54,"MULTIPLE_IBB_MATCHES")</x:f>
        <x:v>6</x:v>
      </x:c>
      <x:c r="E6" s="30" t="n">
        <x:f>COUNTIF(Adaylar!L2:L54,"NO_RELIABLE_IBB_MATCH")</x:f>
        <x:v>4</x:v>
      </x:c>
    </x:row>
    <x:row r="8" ht="28" customHeight="1">
      <x:c r="A8" s="3" t="str">
        <x:v>ÇALIŞMA KURALLARI</x:v>
      </x:c>
      <x:c r="B8" s="3"/>
      <x:c r="C8" s="3"/>
      <x:c r="D8" s="3"/>
      <x:c r="E8" s="3"/>
      <x:c r="F8" s="3"/>
      <x:c r="G8" s="3"/>
      <x:c r="H8" s="3"/>
    </x:row>
    <x:row r="9" ht="33" customHeight="1">
      <x:c r="A9" s="8" t="str">
        <x:v>• 51 aday İSM’nin 6 kamu hastaneleri başkanlığı listelerinden; 2 aday güncel resmî kurum sayfalarından.</x:v>
      </x:c>
      <x:c r="B9" s="8" t="str"/>
      <x:c r="C9" s="8" t="str"/>
      <x:c r="D9" s="8" t="str"/>
      <x:c r="E9" s="8" t="str"/>
      <x:c r="F9" s="8" t="str"/>
      <x:c r="G9" s="8" t="str"/>
      <x:c r="H9" s="8" t="str"/>
    </x:row>
    <x:row r="10" ht="33" customHeight="1">
      <x:c r="A10" s="8" t="str">
        <x:v>• Resmî site URL’leri il müdürlüğü bağlantılarına dayanır; 53 domainin erişimi tek tek canlı test edilmedi.</x:v>
      </x:c>
      <x:c r="B10" s="8" t="str"/>
      <x:c r="C10" s="8" t="str"/>
      <x:c r="D10" s="8" t="str"/>
      <x:c r="E10" s="8" t="str"/>
      <x:c r="F10" s="8" t="str"/>
      <x:c r="G10" s="8" t="str"/>
      <x:c r="H10" s="8" t="str"/>
    </x:row>
    <x:row r="11" ht="33" customHeight="1">
      <x:c r="A11" s="8" t="str">
        <x:v>• İBB dosyasında 20.469 TARİHÎ kayıt var; eski koordinatlar ve adresler otomatik üretime aktarılmaz.</x:v>
      </x:c>
      <x:c r="B11" s="8" t="str"/>
      <x:c r="C11" s="8" t="str"/>
      <x:c r="D11" s="8" t="str"/>
      <x:c r="E11" s="8" t="str"/>
      <x:c r="F11" s="8" t="str"/>
      <x:c r="G11" s="8" t="str"/>
      <x:c r="H11" s="8" t="str"/>
    </x:row>
    <x:row r="12" ht="33" customHeight="1">
      <x:c r="A12" s="8" t="str">
        <x:v>• 48 aday için İBB isim önerisi bulundu; bunlardan 6’sının birden fazla olası eski adres eşleşmesi var.</x:v>
      </x:c>
      <x:c r="B12" s="8" t="str"/>
      <x:c r="C12" s="8" t="str"/>
      <x:c r="D12" s="8" t="str"/>
      <x:c r="E12" s="8" t="str"/>
      <x:c r="F12" s="8" t="str"/>
      <x:c r="G12" s="8" t="str"/>
      <x:c r="H12" s="8" t="str"/>
    </x:row>
    <x:row r="13" ht="33" customHeight="1">
      <x:c r="A13" s="8" t="str">
        <x:v>• 2026 faaliyet kanıtı eklenen 3 kurum olsa bile canlı DB’de kimlik ve konum eşleştirmesi tamamlanmadı.</x:v>
      </x:c>
      <x:c r="B13" s="8" t="str"/>
      <x:c r="C13" s="8" t="str"/>
      <x:c r="D13" s="8" t="str"/>
      <x:c r="E13" s="8" t="str"/>
      <x:c r="F13" s="8" t="str"/>
      <x:c r="G13" s="8" t="str"/>
      <x:c r="H13" s="8" t="str"/>
    </x:row>
    <x:row r="14" ht="33" customHeight="1">
      <x:c r="A14" s="8" t="str">
        <x:v>• İstanbul EAH / Samatya zaten Batch 2’de olabilir: YENİ CREATE yasak, önce DB eşleştirmesi.</x:v>
      </x:c>
      <x:c r="B14" s="8" t="str"/>
      <x:c r="C14" s="8" t="str"/>
      <x:c r="D14" s="8" t="str"/>
      <x:c r="E14" s="8" t="str"/>
      <x:c r="F14" s="8" t="str"/>
      <x:c r="G14" s="8" t="str"/>
      <x:c r="H14" s="8" t="str"/>
    </x:row>
    <x:row r="15" ht="33" customHeight="1">
      <x:c r="A15" s="8" t="str">
        <x:v>• Beylikdüzü Devlet Hastanesi eski İBB kaydında Büyükçekmece ilçesinde; güncel yerleşkeyi kontrol et.</x:v>
      </x:c>
      <x:c r="B15" s="8" t="str"/>
      <x:c r="C15" s="8" t="str"/>
      <x:c r="D15" s="8" t="str"/>
      <x:c r="E15" s="8" t="str"/>
      <x:c r="F15" s="8" t="str"/>
      <x:c r="G15" s="8" t="str"/>
      <x:c r="H15" s="8" t="str"/>
    </x:row>
    <x:row r="16" ht="33" customHeight="1">
      <x:c r="A16" s="8" t="str">
        <x:v>• Tüm satırlarda import_eligible=NO, externalRef boş; aday ID gerçek tesis kaynak ID’si değildir.</x:v>
      </x:c>
      <x:c r="B16" s="8" t="str"/>
      <x:c r="C16" s="8" t="str"/>
      <x:c r="D16" s="8" t="str"/>
      <x:c r="E16" s="8" t="str"/>
      <x:c r="F16" s="8" t="str"/>
      <x:c r="G16" s="8" t="str"/>
      <x:c r="H16" s="8" t="str"/>
    </x:row>
    <x:row r="17" ht="33" customHeight="1">
      <x:c r="A17" s="8" t="str">
        <x:v>• 72 DirectoryInstitution kaydına bu ortamdan bağlanılamadı; mevcut 72 kaydı VS Code kontrol edecek.</x:v>
      </x:c>
      <x:c r="B17" s="8" t="str"/>
      <x:c r="C17" s="8" t="str"/>
      <x:c r="D17" s="8" t="str"/>
      <x:c r="E17" s="8" t="str"/>
      <x:c r="F17" s="8" t="str"/>
      <x:c r="G17" s="8" t="str"/>
      <x:c r="H17" s="8" t="str"/>
    </x:row>
    <x:row r="18" ht="33" customHeight="1">
      <x:c r="A18" s="8" t="str">
        <x:v>• Her sonuç için faaliyet, lisans, şube/adres, mükerrerlik ve kaynak kayıtları incelendikten sonra ayrı approved CSV oluşturulacak.</x:v>
      </x:c>
      <x:c r="B18" s="8" t="str"/>
      <x:c r="C18" s="8" t="str"/>
      <x:c r="D18" s="8" t="str"/>
      <x:c r="E18" s="8" t="str"/>
      <x:c r="F18" s="8" t="str"/>
      <x:c r="G18" s="8" t="str"/>
      <x:c r="H18" s="8" t="str"/>
    </x:row>
  </x:sheetData>
  <x:mergeCells>
    <x:mergeCell ref="A1:H1"/>
    <x:mergeCell ref="A3:H3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50" hidden="0" customWidth="1"/>
    <x:col min="3" max="3" width="14" hidden="0" customWidth="1"/>
    <x:col min="4" max="4" width="15" hidden="0" customWidth="1"/>
    <x:col min="5" max="5" width="24" hidden="0" customWidth="1"/>
    <x:col min="6" max="6" width="48" hidden="0" customWidth="1"/>
    <x:col min="7" max="7" width="40" hidden="0" customWidth="1"/>
    <x:col min="8" max="8" width="35" hidden="0" customWidth="1"/>
    <x:col min="9" max="9" width="53" hidden="0" customWidth="1"/>
    <x:col min="10" max="10" width="18" hidden="0" customWidth="1"/>
    <x:col min="11" max="11" width="34" hidden="0" customWidth="1"/>
    <x:col min="12" max="12" width="31" hidden="0" customWidth="1"/>
    <x:col min="13" max="13" width="47" hidden="0" customWidth="1"/>
    <x:col min="14" max="14" width="23" hidden="0" customWidth="1"/>
    <x:col min="15" max="15" width="63" hidden="0" customWidth="1"/>
    <x:col min="16" max="16" width="19" hidden="0" customWidth="1"/>
    <x:col min="17" max="17" width="20" hidden="0" customWidth="1"/>
    <x:col min="18" max="18" width="45" hidden="0" customWidth="1"/>
    <x:col min="19" max="19" width="19" hidden="0" customWidth="1"/>
    <x:col min="20" max="20" width="53" hidden="0" customWidth="1"/>
    <x:col min="21" max="21" width="42" hidden="0" customWidth="1"/>
    <x:col min="22" max="22" width="85" hidden="0" customWidth="1"/>
    <x:col min="23" max="23" width="33" hidden="0" customWidth="1"/>
  </x:cols>
  <x:sheetData>
    <x:row r="1" ht="34" customHeight="1">
      <x:c r="A1" s="4" t="str">
        <x:v>Aday ID</x:v>
      </x:c>
      <x:c r="B1" s="4" t="str">
        <x:v>Kurum Adı</x:v>
      </x:c>
      <x:c r="C1" s="4" t="str">
        <x:v>Tür</x:v>
      </x:c>
      <x:c r="D1" s="4" t="str">
        <x:v>İl</x:v>
      </x:c>
      <x:c r="E1" s="4" t="str">
        <x:v>Güncel İlçe (teyitli)</x:v>
      </x:c>
      <x:c r="F1" s="4" t="str">
        <x:v>Güncel Adres (teyitli)</x:v>
      </x:c>
      <x:c r="G1" s="4" t="str">
        <x:v>Resmî Site Bağlantısı</x:v>
      </x:c>
      <x:c r="H1" s="4" t="str">
        <x:v>Site Bağlantısı Kanıtı</x:v>
      </x:c>
      <x:c r="I1" s="4" t="str">
        <x:v>Kaynak URL</x:v>
      </x:c>
      <x:c r="J1" s="4" t="str">
        <x:v>Kaynak Sayfa Tarihi</x:v>
      </x:c>
      <x:c r="K1" s="4" t="str">
        <x:v>Faaliyet Kanıt Durumu</x:v>
      </x:c>
      <x:c r="L1" s="4" t="str">
        <x:v>İBB Eşleşme Durumu</x:v>
      </x:c>
      <x:c r="M1" s="4" t="str">
        <x:v>İBB Tarihî Ad</x:v>
      </x:c>
      <x:c r="N1" s="4" t="str">
        <x:v>İBB Tarihî İlçe</x:v>
      </x:c>
      <x:c r="O1" s="4" t="str">
        <x:v>İBB Tarihî Adres</x:v>
      </x:c>
      <x:c r="P1" s="4" t="str">
        <x:v>İBB Tarihî Enlem</x:v>
      </x:c>
      <x:c r="Q1" s="4" t="str">
        <x:v>İBB Tarihî Boylam</x:v>
      </x:c>
      <x:c r="R1" s="4" t="str">
        <x:v>Canlı DB Eşleşmesi</x:v>
      </x:c>
      <x:c r="S1" s="4" t="str">
        <x:v>Aktarım Uygunluğu</x:v>
      </x:c>
      <x:c r="T1" s="4" t="str">
        <x:v>Ek 2026 Kanıtı</x:v>
      </x:c>
      <x:c r="U1" s="4" t="str">
        <x:v>Risk Etiketleri</x:v>
      </x:c>
      <x:c r="V1" s="4" t="str">
        <x:v>İnceleme Notu</x:v>
      </x:c>
      <x:c r="W1" s="4" t="str">
        <x:v>Karar</x:v>
      </x:c>
    </x:row>
    <x:row r="2" ht="28" customHeight="1">
      <x:c r="A2" t="str">
        <x:v>B3-R-001</x:v>
      </x:c>
      <x:c r="B2" t="str">
        <x:v>Pendik Devlet Hastanesi</x:v>
      </x:c>
      <x:c r="C2" t="str">
        <x:v>HOSPITAL</x:v>
      </x:c>
      <x:c r="D2" t="str">
        <x:v>İstanbul</x:v>
      </x:c>
      <x:c r="E2" t="str"/>
      <x:c r="F2" t="str"/>
      <x:c r="G2" t="str">
        <x:v>https://pendikdh.saglik.gov.tr/</x:v>
      </x:c>
      <x:c r="H2" t="str">
        <x:v>OFFICIAL_DIRECTORY_LINK_NOT_SITE_TESTED</x:v>
      </x:c>
      <x:c r="I2" t="str">
        <x:v>https://istanbulism.saglik.gov.tr/TR-228305/baskanlik-bolgesinde-hizmet-veren-hastaneler.html</x:v>
      </x:c>
      <x:c r="J2" t="str">
        <x:v>Belirtilmemiş</x:v>
      </x:c>
      <x:c r="K2" t="str">
        <x:v>NOT_INDIVIDUALLY_VERIFIED_2026</x:v>
      </x:c>
      <x:c r="L2" t="str">
        <x:v>HISTORICAL_IBB_MATCH</x:v>
      </x:c>
      <x:c r="M2" t="str">
        <x:v>T.C. Sağlık Bakanlığı Pendik Devlet Hastanesi</x:v>
      </x:c>
      <x:c r="N2" t="str">
        <x:v>PENDİK</x:v>
      </x:c>
      <x:c r="O2" t="str">
        <x:v>Dr. Orhan Maltepe Cad. No:17 BATI/PENDİK</x:v>
      </x:c>
      <x:c r="P2" t="str">
        <x:v>40.877130000000001</x:v>
      </x:c>
      <x:c r="Q2" t="str">
        <x:v>29.229848</x:v>
      </x:c>
      <x:c r="R2" t="str">
        <x:v>NOT_CHECKED_AGAINST_LIVE_72</x:v>
      </x:c>
      <x:c r="S2" s="11" t="str">
        <x:v>NO</x:v>
      </x:c>
      <x:c r="T2" t="str"/>
      <x:c r="U2" t="str"/>
      <x:c r="V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" s="15" t="str">
        <x:v>REVIEW — DO NOT IMPORT</x:v>
      </x:c>
    </x:row>
    <x:row r="3" ht="28" customHeight="1">
      <x:c r="A3" t="str">
        <x:v>B3-R-002</x:v>
      </x:c>
      <x:c r="B3" t="str">
        <x:v>Sultanbeyli Devlet Hastanesi</x:v>
      </x:c>
      <x:c r="C3" t="str">
        <x:v>HOSPITAL</x:v>
      </x:c>
      <x:c r="D3" t="str">
        <x:v>İstanbul</x:v>
      </x:c>
      <x:c r="E3" t="str"/>
      <x:c r="F3" t="str"/>
      <x:c r="G3" t="str">
        <x:v>https://sultanbeylidh.saglik.gov.tr/</x:v>
      </x:c>
      <x:c r="H3" t="str">
        <x:v>OFFICIAL_DIRECTORY_LINK_NOT_SITE_TESTED</x:v>
      </x:c>
      <x:c r="I3" t="str">
        <x:v>https://istanbulism.saglik.gov.tr/TR-228305/baskanlik-bolgesinde-hizmet-veren-hastaneler.html</x:v>
      </x:c>
      <x:c r="J3" t="str">
        <x:v>Belirtilmemiş</x:v>
      </x:c>
      <x:c r="K3" t="str">
        <x:v>NOT_INDIVIDUALLY_VERIFIED_2026</x:v>
      </x:c>
      <x:c r="L3" t="str">
        <x:v>HISTORICAL_IBB_MATCH</x:v>
      </x:c>
      <x:c r="M3" t="str">
        <x:v>T.C. Sağlık Bakanlığı Sultanbeyli Devlet Hastanesi</x:v>
      </x:c>
      <x:c r="N3" t="str">
        <x:v>SULTANBEYLİ</x:v>
      </x:c>
      <x:c r="O3" t="str">
        <x:v>Paşaköy Cad. No:60 BATTALGAZİ/SULTANBEYLİ</x:v>
      </x:c>
      <x:c r="P3" t="str">
        <x:v>40.986044</x:v>
      </x:c>
      <x:c r="Q3" t="str">
        <x:v>29.283926999999998</x:v>
      </x:c>
      <x:c r="R3" t="str">
        <x:v>NOT_CHECKED_AGAINST_LIVE_72</x:v>
      </x:c>
      <x:c r="S3" s="11" t="str">
        <x:v>NO</x:v>
      </x:c>
      <x:c r="T3" t="str"/>
      <x:c r="U3" t="str"/>
      <x:c r="V3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" s="15" t="str">
        <x:v>REVIEW — DO NOT IMPORT</x:v>
      </x:c>
    </x:row>
    <x:row r="4" ht="28" customHeight="1">
      <x:c r="A4" t="str">
        <x:v>B3-R-003</x:v>
      </x:c>
      <x:c r="B4" t="str">
        <x:v>Maltepe Devlet Hastanesi</x:v>
      </x:c>
      <x:c r="C4" t="str">
        <x:v>HOSPITAL</x:v>
      </x:c>
      <x:c r="D4" t="str">
        <x:v>İstanbul</x:v>
      </x:c>
      <x:c r="E4" t="str"/>
      <x:c r="F4" t="str"/>
      <x:c r="G4" t="str">
        <x:v>https://maltepedh.saglik.gov.tr/</x:v>
      </x:c>
      <x:c r="H4" t="str">
        <x:v>OFFICIAL_DIRECTORY_LINK_NOT_SITE_TESTED</x:v>
      </x:c>
      <x:c r="I4" t="str">
        <x:v>https://istanbulism.saglik.gov.tr/TR-228305/baskanlik-bolgesinde-hizmet-veren-hastaneler.html</x:v>
      </x:c>
      <x:c r="J4" t="str">
        <x:v>Belirtilmemiş</x:v>
      </x:c>
      <x:c r="K4" t="str">
        <x:v>NOT_INDIVIDUALLY_VERIFIED_2026</x:v>
      </x:c>
      <x:c r="L4" t="str">
        <x:v>MULTIPLE_IBB_MATCHES</x:v>
      </x:c>
      <x:c r="M4" t="str">
        <x:v>T.C. Sağlık Bakanlığı Maltepe Devlet Hastanesi</x:v>
      </x:c>
      <x:c r="N4" t="str">
        <x:v>MALTEPE</x:v>
      </x:c>
      <x:c r="O4" t="str">
        <x:v>Çamlı Sk. No:18 ALTAYÇEŞME/MALTEPE</x:v>
      </x:c>
      <x:c r="P4" t="str">
        <x:v>40.936791999999997</x:v>
      </x:c>
      <x:c r="Q4" t="str">
        <x:v>29.134884</x:v>
      </x:c>
      <x:c r="R4" t="str">
        <x:v>NOT_CHECKED_AGAINST_LIVE_72</x:v>
      </x:c>
      <x:c r="S4" s="11" t="str">
        <x:v>NO</x:v>
      </x:c>
      <x:c r="T4" t="str"/>
      <x:c r="U4" t="str">
        <x:v>MULTIPLE_HISTORIC_LOCATIONS</x:v>
      </x:c>
      <x:c r="V4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4" s="15" t="str">
        <x:v>REVIEW — DO NOT IMPORT</x:v>
      </x:c>
    </x:row>
    <x:row r="5" ht="28" customHeight="1">
      <x:c r="A5" t="str">
        <x:v>B3-R-004</x:v>
      </x:c>
      <x:c r="B5" t="str">
        <x:v>Tuzla Devlet Hastanesi</x:v>
      </x:c>
      <x:c r="C5" t="str">
        <x:v>HOSPITAL</x:v>
      </x:c>
      <x:c r="D5" t="str">
        <x:v>İstanbul</x:v>
      </x:c>
      <x:c r="E5" t="str"/>
      <x:c r="F5" t="str"/>
      <x:c r="G5" t="str">
        <x:v>https://tuzladh.saglik.gov.tr/</x:v>
      </x:c>
      <x:c r="H5" t="str">
        <x:v>OFFICIAL_DIRECTORY_LINK_NOT_SITE_TESTED</x:v>
      </x:c>
      <x:c r="I5" t="str">
        <x:v>https://istanbulism.saglik.gov.tr/TR-228305/baskanlik-bolgesinde-hizmet-veren-hastaneler.html</x:v>
      </x:c>
      <x:c r="J5" t="str">
        <x:v>Belirtilmemiş</x:v>
      </x:c>
      <x:c r="K5" t="str">
        <x:v>NOT_INDIVIDUALLY_VERIFIED_2026</x:v>
      </x:c>
      <x:c r="L5" t="str">
        <x:v>HISTORICAL_IBB_MATCH</x:v>
      </x:c>
      <x:c r="M5" t="str">
        <x:v>T.C. Sağlık Bakanlığı Tuzla Devlet Hastanesi</x:v>
      </x:c>
      <x:c r="N5" t="str">
        <x:v>TUZLA</x:v>
      </x:c>
      <x:c r="O5" t="str">
        <x:v>Piri Reis Cad. No:74 /1 İÇMELER/TUZLA</x:v>
      </x:c>
      <x:c r="P5" t="str">
        <x:v>40.844436999999999</x:v>
      </x:c>
      <x:c r="Q5" t="str">
        <x:v>29.303179</x:v>
      </x:c>
      <x:c r="R5" t="str">
        <x:v>NOT_CHECKED_AGAINST_LIVE_72</x:v>
      </x:c>
      <x:c r="S5" s="11" t="str">
        <x:v>NO</x:v>
      </x:c>
      <x:c r="T5" t="str"/>
      <x:c r="U5" t="str"/>
      <x:c r="V5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5" s="15" t="str">
        <x:v>REVIEW — DO NOT IMPORT</x:v>
      </x:c>
    </x:row>
    <x:row r="6" ht="28" customHeight="1">
      <x:c r="A6" t="str">
        <x:v>B3-R-005</x:v>
      </x:c>
      <x:c r="B6" t="str">
        <x:v>Kartal Ağız ve Diş Sağlığı Merkezi</x:v>
      </x:c>
      <x:c r="C6" t="str">
        <x:v>CLINIC</x:v>
      </x:c>
      <x:c r="D6" t="str">
        <x:v>İstanbul</x:v>
      </x:c>
      <x:c r="E6" t="str"/>
      <x:c r="F6" t="str"/>
      <x:c r="G6" t="str">
        <x:v>https://kartaladsm.saglik.gov.tr/</x:v>
      </x:c>
      <x:c r="H6" t="str">
        <x:v>OFFICIAL_DIRECTORY_LINK_NOT_SITE_TESTED</x:v>
      </x:c>
      <x:c r="I6" t="str">
        <x:v>https://istanbulism.saglik.gov.tr/TR-228305/baskanlik-bolgesinde-hizmet-veren-hastaneler.html</x:v>
      </x:c>
      <x:c r="J6" t="str">
        <x:v>Belirtilmemiş</x:v>
      </x:c>
      <x:c r="K6" t="str">
        <x:v>NOT_INDIVIDUALLY_VERIFIED_2026</x:v>
      </x:c>
      <x:c r="L6" t="str">
        <x:v>HISTORICAL_IBB_MATCH</x:v>
      </x:c>
      <x:c r="M6" t="str">
        <x:v>Kartal Ağız ve Diş Sağlığı Merkezi</x:v>
      </x:c>
      <x:c r="N6" t="str">
        <x:v>KARTAL</x:v>
      </x:c>
      <x:c r="O6" t="str">
        <x:v>Kaptanıderya Cad. No:50 ORTA/KARTAL</x:v>
      </x:c>
      <x:c r="P6" t="str">
        <x:v>40.912081000000001</x:v>
      </x:c>
      <x:c r="Q6" t="str">
        <x:v>29.201430999999999</x:v>
      </x:c>
      <x:c r="R6" t="str">
        <x:v>NOT_CHECKED_AGAINST_LIVE_72</x:v>
      </x:c>
      <x:c r="S6" s="11" t="str">
        <x:v>NO</x:v>
      </x:c>
      <x:c r="T6" t="str"/>
      <x:c r="U6" t="str"/>
      <x:c r="V6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6" s="15" t="str">
        <x:v>REVIEW — DO NOT IMPORT</x:v>
      </x:c>
    </x:row>
    <x:row r="7" ht="28" customHeight="1">
      <x:c r="A7" t="str">
        <x:v>B3-R-006</x:v>
      </x:c>
      <x:c r="B7" t="str">
        <x:v>Tacirler Eğitim Vakfı Sultanbeyli Ağız ve Diş Sağlığı Hastanesi</x:v>
      </x:c>
      <x:c r="C7" t="str">
        <x:v>CLINIC</x:v>
      </x:c>
      <x:c r="D7" t="str">
        <x:v>İstanbul</x:v>
      </x:c>
      <x:c r="E7" t="str"/>
      <x:c r="F7" t="str"/>
      <x:c r="G7" t="str">
        <x:v>https://sultanbeyliadeah.saglik.gov.tr/</x:v>
      </x:c>
      <x:c r="H7" t="str">
        <x:v>OFFICIAL_DIRECTORY_LINK_NOT_SITE_TESTED</x:v>
      </x:c>
      <x:c r="I7" t="str">
        <x:v>https://istanbulism.saglik.gov.tr/TR-228305/baskanlik-bolgesinde-hizmet-veren-hastaneler.html</x:v>
      </x:c>
      <x:c r="J7" t="str">
        <x:v>Belirtilmemiş</x:v>
      </x:c>
      <x:c r="K7" t="str">
        <x:v>NOT_INDIVIDUALLY_VERIFIED_2026</x:v>
      </x:c>
      <x:c r="L7" t="str">
        <x:v>MULTIPLE_IBB_MATCHES</x:v>
      </x:c>
      <x:c r="M7" t="str">
        <x:v>İstanbul Tacirler Eğitim Vakfı Sultanbeyli Ağız ve Diş Sağlığı Eğitim Araştırma Hastanesi</x:v>
      </x:c>
      <x:c r="N7" t="str">
        <x:v>SULTANBEYLİ</x:v>
      </x:c>
      <x:c r="O7" t="str">
        <x:v>Cami Cad. No:7 MEHMET AKİF/SULTANBEYLİ</x:v>
      </x:c>
      <x:c r="P7" t="str">
        <x:v>40.965606999999999</x:v>
      </x:c>
      <x:c r="Q7" t="str">
        <x:v>29.265985000000001</x:v>
      </x:c>
      <x:c r="R7" t="str">
        <x:v>NOT_CHECKED_AGAINST_LIVE_72</x:v>
      </x:c>
      <x:c r="S7" s="11" t="str">
        <x:v>NO</x:v>
      </x:c>
      <x:c r="T7" t="str"/>
      <x:c r="U7" t="str">
        <x:v>MULTIPLE_HISTORIC_LOCATIONS</x:v>
      </x:c>
      <x:c r="V7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7" s="15" t="str">
        <x:v>REVIEW — DO NOT IMPORT</x:v>
      </x:c>
    </x:row>
    <x:row r="8" ht="28" customHeight="1">
      <x:c r="A8" t="str">
        <x:v>B3-R-007</x:v>
      </x:c>
      <x:c r="B8" t="str">
        <x:v>Dr. Siyami Ersek Göğüs Kalp ve Damar Cerrahisi Eğitim ve Araştırma Hastanesi</x:v>
      </x:c>
      <x:c r="C8" t="str">
        <x:v>HOSPITAL</x:v>
      </x:c>
      <x:c r="D8" t="str">
        <x:v>İstanbul</x:v>
      </x:c>
      <x:c r="E8" t="str"/>
      <x:c r="F8" t="str"/>
      <x:c r="G8" t="str">
        <x:v>https://siyamiersekeah.saglik.gov.tr/</x:v>
      </x:c>
      <x:c r="H8" t="str">
        <x:v>OFFICIAL_DIRECTORY_LINK_NOT_SITE_TESTED</x:v>
      </x:c>
      <x:c r="I8" t="str">
        <x:v>https://istanbulism.saglik.gov.tr/TR-228348/baskanlik-bolgesinde-hizmet-veren-hastaneler.html</x:v>
      </x:c>
      <x:c r="J8" t="str">
        <x:v>2021-12-01</x:v>
      </x:c>
      <x:c r="K8" t="str">
        <x:v>NOT_INDIVIDUALLY_VERIFIED_2026</x:v>
      </x:c>
      <x:c r="L8" t="str">
        <x:v>HISTORICAL_IBB_MATCH</x:v>
      </x:c>
      <x:c r="M8" t="str">
        <x:v>Dr. Siyami Ersek Göğüs Kalp ve Damar Cerrahisi Eğitim Ve Araştırma Hastanesi</x:v>
      </x:c>
      <x:c r="N8" t="str">
        <x:v>ÜSKÜDAR</x:v>
      </x:c>
      <x:c r="O8" t="str">
        <x:v>Tıbbiye Cad. No:25 SELİMİYE/ÜSKÜDAR</x:v>
      </x:c>
      <x:c r="P8" t="str">
        <x:v>41.004024000000001</x:v>
      </x:c>
      <x:c r="Q8" t="str">
        <x:v>29.024249000000001</x:v>
      </x:c>
      <x:c r="R8" t="str">
        <x:v>NOT_CHECKED_AGAINST_LIVE_72</x:v>
      </x:c>
      <x:c r="S8" s="11" t="str">
        <x:v>NO</x:v>
      </x:c>
      <x:c r="T8" t="str"/>
      <x:c r="U8" t="str"/>
      <x:c r="V8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8" s="15" t="str">
        <x:v>REVIEW — DO NOT IMPORT</x:v>
      </x:c>
    </x:row>
    <x:row r="9" ht="28" customHeight="1">
      <x:c r="A9" t="str">
        <x:v>B3-R-008</x:v>
      </x:c>
      <x:c r="B9" t="str">
        <x:v>Erenköy Ruh ve Sinir Hastalıkları Eğitim ve Araştırma Hastanesi</x:v>
      </x:c>
      <x:c r="C9" t="str">
        <x:v>HOSPITAL</x:v>
      </x:c>
      <x:c r="D9" t="str">
        <x:v>İstanbul</x:v>
      </x:c>
      <x:c r="E9" t="str"/>
      <x:c r="F9" t="str"/>
      <x:c r="G9" t="str">
        <x:v>https://erenkoyruhsinireah.saglik.gov.tr/</x:v>
      </x:c>
      <x:c r="H9" t="str">
        <x:v>OFFICIAL_DIRECTORY_LINK_NOT_SITE_TESTED</x:v>
      </x:c>
      <x:c r="I9" t="str">
        <x:v>https://istanbulism.saglik.gov.tr/TR-228348/baskanlik-bolgesinde-hizmet-veren-hastaneler.html</x:v>
      </x:c>
      <x:c r="J9" t="str">
        <x:v>2021-12-01</x:v>
      </x:c>
      <x:c r="K9" t="str">
        <x:v>NOT_INDIVIDUALLY_VERIFIED_2026</x:v>
      </x:c>
      <x:c r="L9" t="str">
        <x:v>MULTIPLE_IBB_MATCHES</x:v>
      </x:c>
      <x:c r="M9" t="str">
        <x:v>Erenköy Ruh ve Sinir Hastalıkları Eğitim ve Araştırma Hastanesi</x:v>
      </x:c>
      <x:c r="N9" t="str">
        <x:v>KADIKÖY</x:v>
      </x:c>
      <x:c r="O9" t="str">
        <x:v>Sinan Ercan Cad. No:23 19 MAYIS/KADIKÖY</x:v>
      </x:c>
      <x:c r="P9" t="str">
        <x:v>40.973610000000001</x:v>
      </x:c>
      <x:c r="Q9" t="str">
        <x:v>29.089338999999999</x:v>
      </x:c>
      <x:c r="R9" t="str">
        <x:v>NOT_CHECKED_AGAINST_LIVE_72</x:v>
      </x:c>
      <x:c r="S9" s="11" t="str">
        <x:v>NO</x:v>
      </x:c>
      <x:c r="T9" t="str"/>
      <x:c r="U9" t="str">
        <x:v>MULTIPLE_HISTORIC_LOCATIONS</x:v>
      </x:c>
      <x:c r="V9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9" s="15" t="str">
        <x:v>REVIEW — DO NOT IMPORT</x:v>
      </x:c>
    </x:row>
    <x:row r="10" ht="28" customHeight="1">
      <x:c r="A10" t="str">
        <x:v>B3-R-009</x:v>
      </x:c>
      <x:c r="B10" t="str">
        <x:v>Zeynep Kamil Kadın ve Çocuk Hastalıkları Eğitim ve Araştırma Hastanesi</x:v>
      </x:c>
      <x:c r="C10" t="str">
        <x:v>HOSPITAL</x:v>
      </x:c>
      <x:c r="D10" t="str">
        <x:v>İstanbul</x:v>
      </x:c>
      <x:c r="E10" t="str"/>
      <x:c r="F10" t="str"/>
      <x:c r="G10" t="str">
        <x:v>https://zeynepkamilkdch.saglik.gov.tr/</x:v>
      </x:c>
      <x:c r="H10" t="str">
        <x:v>OFFICIAL_DIRECTORY_LINK_NOT_SITE_TESTED</x:v>
      </x:c>
      <x:c r="I10" t="str">
        <x:v>https://istanbulism.saglik.gov.tr/TR-228348/baskanlik-bolgesinde-hizmet-veren-hastaneler.html</x:v>
      </x:c>
      <x:c r="J10" t="str">
        <x:v>2021-12-01</x:v>
      </x:c>
      <x:c r="K10" t="str">
        <x:v>NOT_INDIVIDUALLY_VERIFIED_2026</x:v>
      </x:c>
      <x:c r="L10" t="str">
        <x:v>HISTORICAL_IBB_MATCH</x:v>
      </x:c>
      <x:c r="M10" t="str">
        <x:v>Zeynep Kamil Kadın ve Çocuk Hastalıkları Eğitim ve Araştırma Hastanesi</x:v>
      </x:c>
      <x:c r="N10" t="str">
        <x:v>ÜSKÜDAR</x:v>
      </x:c>
      <x:c r="O10" t="str">
        <x:v>Dr. Burhanettin Üstünel Sk. No:6 /2 ZEYNEP KAMİL/ÜSKÜDAR</x:v>
      </x:c>
      <x:c r="P10" t="str">
        <x:v>41.015019000000002</x:v>
      </x:c>
      <x:c r="Q10" t="str">
        <x:v>29.025881999999999</x:v>
      </x:c>
      <x:c r="R10" t="str">
        <x:v>NOT_CHECKED_AGAINST_LIVE_72</x:v>
      </x:c>
      <x:c r="S10" s="11" t="str">
        <x:v>NO</x:v>
      </x:c>
      <x:c r="T10" t="str"/>
      <x:c r="U10" t="str"/>
      <x:c r="V10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0" s="15" t="str">
        <x:v>REVIEW — DO NOT IMPORT</x:v>
      </x:c>
    </x:row>
    <x:row r="11" ht="28" customHeight="1">
      <x:c r="A11" t="str">
        <x:v>B3-R-010</x:v>
      </x:c>
      <x:c r="B11" t="str">
        <x:v>Sultan II. Abdülhamid Han Eğitim ve Araştırma Hastanesi</x:v>
      </x:c>
      <x:c r="C11" t="str">
        <x:v>HOSPITAL</x:v>
      </x:c>
      <x:c r="D11" t="str">
        <x:v>İstanbul</x:v>
      </x:c>
      <x:c r="E11" t="str"/>
      <x:c r="F11" t="str"/>
      <x:c r="G11" t="str">
        <x:v>https://sultanabdulhamidhaneah.saglik.gov.tr/</x:v>
      </x:c>
      <x:c r="H11" t="str">
        <x:v>OFFICIAL_DIRECTORY_LINK_NOT_SITE_TESTED</x:v>
      </x:c>
      <x:c r="I11" t="str">
        <x:v>https://istanbulism.saglik.gov.tr/TR-228348/baskanlik-bolgesinde-hizmet-veren-hastaneler.html</x:v>
      </x:c>
      <x:c r="J11" t="str">
        <x:v>2021-12-01</x:v>
      </x:c>
      <x:c r="K11" t="str">
        <x:v>NOT_INDIVIDUALLY_VERIFIED_2026</x:v>
      </x:c>
      <x:c r="L11" t="str">
        <x:v>HISTORICAL_IBB_MATCH</x:v>
      </x:c>
      <x:c r="M11" t="str">
        <x:v>Sbü İstanbul Sultan Abdülhamid Han Eğitim ve Araştırma Hastanesi</x:v>
      </x:c>
      <x:c r="N11" t="str">
        <x:v>ÜSKÜDAR</x:v>
      </x:c>
      <x:c r="O11" t="str">
        <x:v>Tıbbiye Cad. No:42 /36 SELİMİYE/ÜSKÜDAR</x:v>
      </x:c>
      <x:c r="P11" t="str">
        <x:v>41.001795999999999</x:v>
      </x:c>
      <x:c r="Q11" t="str">
        <x:v>29.020844</x:v>
      </x:c>
      <x:c r="R11" t="str">
        <x:v>NOT_CHECKED_AGAINST_LIVE_72</x:v>
      </x:c>
      <x:c r="S11" s="11" t="str">
        <x:v>NO</x:v>
      </x:c>
      <x:c r="T11" t="str"/>
      <x:c r="U11" t="str"/>
      <x:c r="V11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1" s="15" t="str">
        <x:v>REVIEW — DO NOT IMPORT</x:v>
      </x:c>
    </x:row>
    <x:row r="12" ht="28" customHeight="1">
      <x:c r="A12" t="str">
        <x:v>B3-R-011</x:v>
      </x:c>
      <x:c r="B12" t="str">
        <x:v>Üsküdar Devlet Hastanesi</x:v>
      </x:c>
      <x:c r="C12" t="str">
        <x:v>HOSPITAL</x:v>
      </x:c>
      <x:c r="D12" t="str">
        <x:v>İstanbul</x:v>
      </x:c>
      <x:c r="E12" t="str"/>
      <x:c r="F12" t="str"/>
      <x:c r="G12" t="str">
        <x:v>https://uskudardh.saglik.gov.tr/</x:v>
      </x:c>
      <x:c r="H12" t="str">
        <x:v>OFFICIAL_DIRECTORY_LINK_NOT_SITE_TESTED</x:v>
      </x:c>
      <x:c r="I12" t="str">
        <x:v>https://istanbulism.saglik.gov.tr/TR-228348/baskanlik-bolgesinde-hizmet-veren-hastaneler.html</x:v>
      </x:c>
      <x:c r="J12" t="str">
        <x:v>2021-12-01</x:v>
      </x:c>
      <x:c r="K12" t="str">
        <x:v>NOT_INDIVIDUALLY_VERIFIED_2026</x:v>
      </x:c>
      <x:c r="L12" t="str">
        <x:v>HISTORICAL_IBB_MATCH</x:v>
      </x:c>
      <x:c r="M12" t="str">
        <x:v>T.C. Sağlık Bakanlığı Üsküdar Devlet Hastanesi</x:v>
      </x:c>
      <x:c r="N12" t="str">
        <x:v>ÜSKÜDAR</x:v>
      </x:c>
      <x:c r="O12" t="str">
        <x:v>Veysipaşa Sk. No:14 /1 BARBAROS/ÜSKÜDAR</x:v>
      </x:c>
      <x:c r="P12" t="str">
        <x:v>41.015590000000003</x:v>
      </x:c>
      <x:c r="Q12" t="str">
        <x:v>29.038754999999998</x:v>
      </x:c>
      <x:c r="R12" t="str">
        <x:v>NOT_CHECKED_AGAINST_LIVE_72</x:v>
      </x:c>
      <x:c r="S12" s="11" t="str">
        <x:v>NO</x:v>
      </x:c>
      <x:c r="T12" t="str"/>
      <x:c r="U12" t="str"/>
      <x:c r="V1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2" s="15" t="str">
        <x:v>REVIEW — DO NOT IMPORT</x:v>
      </x:c>
    </x:row>
    <x:row r="13" ht="28" customHeight="1">
      <x:c r="A13" t="str">
        <x:v>B3-R-012</x:v>
      </x:c>
      <x:c r="B13" t="str">
        <x:v>Beykoz Devlet Hastanesi</x:v>
      </x:c>
      <x:c r="C13" t="str">
        <x:v>HOSPITAL</x:v>
      </x:c>
      <x:c r="D13" t="str">
        <x:v>İstanbul</x:v>
      </x:c>
      <x:c r="E13" t="str"/>
      <x:c r="F13" t="str"/>
      <x:c r="G13" t="str">
        <x:v>https://beykozdh.saglik.gov.tr/</x:v>
      </x:c>
      <x:c r="H13" t="str">
        <x:v>OFFICIAL_DIRECTORY_LINK_NOT_SITE_TESTED</x:v>
      </x:c>
      <x:c r="I13" t="str">
        <x:v>https://istanbulism.saglik.gov.tr/TR-228348/baskanlik-bolgesinde-hizmet-veren-hastaneler.html</x:v>
      </x:c>
      <x:c r="J13" t="str">
        <x:v>2021-12-01</x:v>
      </x:c>
      <x:c r="K13" t="str">
        <x:v>NOT_INDIVIDUALLY_VERIFIED_2026</x:v>
      </x:c>
      <x:c r="L13" t="str">
        <x:v>HISTORICAL_IBB_MATCH</x:v>
      </x:c>
      <x:c r="M13" t="str">
        <x:v>Beykoz Devlet Hastanesi</x:v>
      </x:c>
      <x:c r="N13" t="str">
        <x:v>BEYKOZ</x:v>
      </x:c>
      <x:c r="O13" t="str">
        <x:v>Saip Molla Cad. No:26 İNCİRKÖY/BEYKOZ</x:v>
      </x:c>
      <x:c r="P13" t="str">
        <x:v>41.117775000000002</x:v>
      </x:c>
      <x:c r="Q13" t="str">
        <x:v>29.097861999999999</x:v>
      </x:c>
      <x:c r="R13" t="str">
        <x:v>NOT_CHECKED_AGAINST_LIVE_72</x:v>
      </x:c>
      <x:c r="S13" s="11" t="str">
        <x:v>NO</x:v>
      </x:c>
      <x:c r="T13" t="str"/>
      <x:c r="U13" t="str"/>
      <x:c r="V13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3" s="15" t="str">
        <x:v>REVIEW — DO NOT IMPORT</x:v>
      </x:c>
    </x:row>
    <x:row r="14" ht="28" customHeight="1">
      <x:c r="A14" t="str">
        <x:v>B3-R-013</x:v>
      </x:c>
      <x:c r="B14" t="str">
        <x:v>Şile Devlet Hastanesi</x:v>
      </x:c>
      <x:c r="C14" t="str">
        <x:v>HOSPITAL</x:v>
      </x:c>
      <x:c r="D14" t="str">
        <x:v>İstanbul</x:v>
      </x:c>
      <x:c r="E14" t="str"/>
      <x:c r="F14" t="str"/>
      <x:c r="G14" t="str">
        <x:v>https://siledh.saglik.gov.tr/</x:v>
      </x:c>
      <x:c r="H14" t="str">
        <x:v>OFFICIAL_DIRECTORY_LINK_NOT_SITE_TESTED</x:v>
      </x:c>
      <x:c r="I14" t="str">
        <x:v>https://istanbulism.saglik.gov.tr/TR-228348/baskanlik-bolgesinde-hizmet-veren-hastaneler.html</x:v>
      </x:c>
      <x:c r="J14" t="str">
        <x:v>2021-12-01</x:v>
      </x:c>
      <x:c r="K14" t="str">
        <x:v>NOT_INDIVIDUALLY_VERIFIED_2026</x:v>
      </x:c>
      <x:c r="L14" t="str">
        <x:v>HISTORICAL_IBB_MATCH</x:v>
      </x:c>
      <x:c r="M14" t="str">
        <x:v>T.C. Sağlık Bakanlığı Şile Devlet Hastanesi</x:v>
      </x:c>
      <x:c r="N14" t="str">
        <x:v>ŞİLE</x:v>
      </x:c>
      <x:c r="O14" t="str">
        <x:v>Atatürk Cad. No:28 BALİBEY/ŞİLE</x:v>
      </x:c>
      <x:c r="P14" t="str">
        <x:v>41.174616</x:v>
      </x:c>
      <x:c r="Q14" t="str">
        <x:v>29.616883999999999</x:v>
      </x:c>
      <x:c r="R14" t="str">
        <x:v>NOT_CHECKED_AGAINST_LIVE_72</x:v>
      </x:c>
      <x:c r="S14" s="11" t="str">
        <x:v>NO</x:v>
      </x:c>
      <x:c r="T14" t="str"/>
      <x:c r="U14" t="str"/>
      <x:c r="V14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4" s="15" t="str">
        <x:v>REVIEW — DO NOT IMPORT</x:v>
      </x:c>
    </x:row>
    <x:row r="15" ht="28" customHeight="1">
      <x:c r="A15" t="str">
        <x:v>B3-R-014</x:v>
      </x:c>
      <x:c r="B15" t="str">
        <x:v>Erenköy Fizik Tedavi ve Rehabilitasyon Hastanesi</x:v>
      </x:c>
      <x:c r="C15" t="str">
        <x:v>HOSPITAL</x:v>
      </x:c>
      <x:c r="D15" t="str">
        <x:v>İstanbul</x:v>
      </x:c>
      <x:c r="E15" t="str"/>
      <x:c r="F15" t="str"/>
      <x:c r="G15" t="str">
        <x:v>https://erenkoyftr.saglik.gov.tr/</x:v>
      </x:c>
      <x:c r="H15" t="str">
        <x:v>OFFICIAL_DIRECTORY_LINK_NOT_SITE_TESTED</x:v>
      </x:c>
      <x:c r="I15" t="str">
        <x:v>https://istanbulism.saglik.gov.tr/TR-228348/baskanlik-bolgesinde-hizmet-veren-hastaneler.html</x:v>
      </x:c>
      <x:c r="J15" t="str">
        <x:v>2021-12-01</x:v>
      </x:c>
      <x:c r="K15" t="str">
        <x:v>NOT_INDIVIDUALLY_VERIFIED_2026</x:v>
      </x:c>
      <x:c r="L15" t="str">
        <x:v>HISTORICAL_IBB_MATCH</x:v>
      </x:c>
      <x:c r="M15" t="str">
        <x:v>T.C. Sağlık Bakanlığı Erenköy Fizik Tedavi ve Rehabilitasyon Hastanesi</x:v>
      </x:c>
      <x:c r="N15" t="str">
        <x:v>KADIKÖY</x:v>
      </x:c>
      <x:c r="O15" t="str">
        <x:v>Sultan Sk. No:14 /2 19 MAYIS/KADIKÖY</x:v>
      </x:c>
      <x:c r="P15" t="str">
        <x:v>40.975039000000002</x:v>
      </x:c>
      <x:c r="Q15" t="str">
        <x:v>29.084032000000001</x:v>
      </x:c>
      <x:c r="R15" t="str">
        <x:v>NOT_CHECKED_AGAINST_LIVE_72</x:v>
      </x:c>
      <x:c r="S15" s="11" t="str">
        <x:v>NO</x:v>
      </x:c>
      <x:c r="T15" t="str"/>
      <x:c r="U15" t="str"/>
      <x:c r="V15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5" s="15" t="str">
        <x:v>REVIEW — DO NOT IMPORT</x:v>
      </x:c>
    </x:row>
    <x:row r="16" ht="28" customHeight="1">
      <x:c r="A16" t="str">
        <x:v>B3-R-015</x:v>
      </x:c>
      <x:c r="B16" t="str">
        <x:v>Sancaktepe Şehit Prof. Dr. İlhan Varank Eğitim ve Araştırma Hastanesi</x:v>
      </x:c>
      <x:c r="C16" t="str">
        <x:v>HOSPITAL</x:v>
      </x:c>
      <x:c r="D16" t="str">
        <x:v>İstanbul</x:v>
      </x:c>
      <x:c r="E16" t="str"/>
      <x:c r="F16" t="str"/>
      <x:c r="G16" t="str">
        <x:v>https://sancaktepeah.saglik.gov.tr/</x:v>
      </x:c>
      <x:c r="H16" t="str">
        <x:v>OFFICIAL_DIRECTORY_LINK_NOT_SITE_TESTED</x:v>
      </x:c>
      <x:c r="I16" t="str">
        <x:v>https://istanbulism.saglik.gov.tr/TR-228348/baskanlik-bolgesinde-hizmet-veren-hastaneler.html</x:v>
      </x:c>
      <x:c r="J16" t="str">
        <x:v>2021-12-01</x:v>
      </x:c>
      <x:c r="K16" t="str">
        <x:v>NOT_INDIVIDUALLY_VERIFIED_2026</x:v>
      </x:c>
      <x:c r="L16" t="str">
        <x:v>HISTORICAL_IBB_MATCH</x:v>
      </x:c>
      <x:c r="M16" t="str">
        <x:v>Sancaktepe Şehit Profesör Dr. Ilhan Varank Eğitim ve Araştırma Hastanesi</x:v>
      </x:c>
      <x:c r="N16" t="str">
        <x:v>SANCAKTEPE</x:v>
      </x:c>
      <x:c r="O16" t="str">
        <x:v>Namık Kemal Cad. No:54 EMEK/SANCAKTEPE</x:v>
      </x:c>
      <x:c r="P16" t="str">
        <x:v>41.005212999999998</x:v>
      </x:c>
      <x:c r="Q16" t="str">
        <x:v>29.196558</x:v>
      </x:c>
      <x:c r="R16" t="str">
        <x:v>NOT_CHECKED_AGAINST_LIVE_72</x:v>
      </x:c>
      <x:c r="S16" s="11" t="str">
        <x:v>NO</x:v>
      </x:c>
      <x:c r="T16" t="str"/>
      <x:c r="U16" t="str"/>
      <x:c r="V16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6" s="15" t="str">
        <x:v>REVIEW — DO NOT IMPORT</x:v>
      </x:c>
    </x:row>
    <x:row r="17" ht="28" customHeight="1">
      <x:c r="A17" t="str">
        <x:v>B3-R-016</x:v>
      </x:c>
      <x:c r="B17" t="str">
        <x:v>Ataşehir Ağız ve Diş Sağlığı Hastanesi</x:v>
      </x:c>
      <x:c r="C17" t="str">
        <x:v>CLINIC</x:v>
      </x:c>
      <x:c r="D17" t="str">
        <x:v>İstanbul</x:v>
      </x:c>
      <x:c r="E17" t="str"/>
      <x:c r="F17" t="str"/>
      <x:c r="G17" t="str">
        <x:v>https://atasehiradsh.saglik.gov.tr/</x:v>
      </x:c>
      <x:c r="H17" t="str">
        <x:v>OFFICIAL_DIRECTORY_LINK_NOT_SITE_TESTED</x:v>
      </x:c>
      <x:c r="I17" t="str">
        <x:v>https://istanbulism.saglik.gov.tr/TR-228348/baskanlik-bolgesinde-hizmet-veren-hastaneler.html</x:v>
      </x:c>
      <x:c r="J17" t="str">
        <x:v>2021-12-01</x:v>
      </x:c>
      <x:c r="K17" t="str">
        <x:v>NOT_INDIVIDUALLY_VERIFIED_2026</x:v>
      </x:c>
      <x:c r="L17" t="str">
        <x:v>HISTORICAL_IBB_MATCH</x:v>
      </x:c>
      <x:c r="M17" t="str">
        <x:v>Ataşehir Ağız ve Diş Sağlığı Hastanesi</x:v>
      </x:c>
      <x:c r="N17" t="str">
        <x:v>ATAŞEHİR</x:v>
      </x:c>
      <x:c r="O17" t="str">
        <x:v>Fesleğen Sk. No:6 BARBAROS/ATAŞEHİR</x:v>
      </x:c>
      <x:c r="P17" t="str">
        <x:v>40.990900000000003</x:v>
      </x:c>
      <x:c r="Q17" t="str">
        <x:v>29.109186000000001</x:v>
      </x:c>
      <x:c r="R17" t="str">
        <x:v>NOT_CHECKED_AGAINST_LIVE_72</x:v>
      </x:c>
      <x:c r="S17" s="11" t="str">
        <x:v>NO</x:v>
      </x:c>
      <x:c r="T17" t="str"/>
      <x:c r="U17" t="str"/>
      <x:c r="V17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7" s="15" t="str">
        <x:v>REVIEW — DO NOT IMPORT</x:v>
      </x:c>
    </x:row>
    <x:row r="18" ht="28" customHeight="1">
      <x:c r="A18" t="str">
        <x:v>B3-R-017</x:v>
      </x:c>
      <x:c r="B18" t="str">
        <x:v>Göztepe Ağız ve Diş Sağlığı Merkezi</x:v>
      </x:c>
      <x:c r="C18" t="str">
        <x:v>CLINIC</x:v>
      </x:c>
      <x:c r="D18" t="str">
        <x:v>İstanbul</x:v>
      </x:c>
      <x:c r="E18" t="str"/>
      <x:c r="F18" t="str"/>
      <x:c r="G18" t="str">
        <x:v>https://goztepeadsm.saglik.gov.tr/</x:v>
      </x:c>
      <x:c r="H18" t="str">
        <x:v>OFFICIAL_DIRECTORY_LINK_NOT_SITE_TESTED</x:v>
      </x:c>
      <x:c r="I18" t="str">
        <x:v>https://istanbulism.saglik.gov.tr/TR-228348/baskanlik-bolgesinde-hizmet-veren-hastaneler.html</x:v>
      </x:c>
      <x:c r="J18" t="str">
        <x:v>2021-12-01</x:v>
      </x:c>
      <x:c r="K18" t="str">
        <x:v>NOT_INDIVIDUALLY_VERIFIED_2026</x:v>
      </x:c>
      <x:c r="L18" t="str">
        <x:v>MULTIPLE_IBB_MATCHES</x:v>
      </x:c>
      <x:c r="M18" t="str">
        <x:v>Göztepe Ağız ve Diş Sağlığı Merkezi</x:v>
      </x:c>
      <x:c r="N18" t="str">
        <x:v>KADIKÖY</x:v>
      </x:c>
      <x:c r="O18" t="str">
        <x:v>Dr. Erkin Cad. No:28 -30 MERDİVENKÖY/KADIKÖY</x:v>
      </x:c>
      <x:c r="P18" t="str">
        <x:v>40.987005000000003</x:v>
      </x:c>
      <x:c r="Q18" t="str">
        <x:v>29.060399</x:v>
      </x:c>
      <x:c r="R18" t="str">
        <x:v>NOT_CHECKED_AGAINST_LIVE_72</x:v>
      </x:c>
      <x:c r="S18" s="11" t="str">
        <x:v>NO</x:v>
      </x:c>
      <x:c r="T18" t="str"/>
      <x:c r="U18" t="str">
        <x:v>MULTIPLE_HISTORIC_LOCATIONS</x:v>
      </x:c>
      <x:c r="V18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18" s="15" t="str">
        <x:v>REVIEW — DO NOT IMPORT</x:v>
      </x:c>
    </x:row>
    <x:row r="19" ht="28" customHeight="1">
      <x:c r="A19" t="str">
        <x:v>B3-R-018</x:v>
      </x:c>
      <x:c r="B19" t="str">
        <x:v>Sancaktepe Ağız ve Diş Sağlığı Merkezi</x:v>
      </x:c>
      <x:c r="C19" t="str">
        <x:v>CLINIC</x:v>
      </x:c>
      <x:c r="D19" t="str">
        <x:v>İstanbul</x:v>
      </x:c>
      <x:c r="E19" t="str"/>
      <x:c r="F19" t="str"/>
      <x:c r="G19" t="str">
        <x:v>https://sancaktepeadsm.saglik.gov.tr/</x:v>
      </x:c>
      <x:c r="H19" t="str">
        <x:v>OFFICIAL_DIRECTORY_LINK_NOT_SITE_TESTED</x:v>
      </x:c>
      <x:c r="I19" t="str">
        <x:v>https://istanbulism.saglik.gov.tr/TR-228348/baskanlik-bolgesinde-hizmet-veren-hastaneler.html</x:v>
      </x:c>
      <x:c r="J19" t="str">
        <x:v>2021-12-01</x:v>
      </x:c>
      <x:c r="K19" t="str">
        <x:v>NOT_INDIVIDUALLY_VERIFIED_2026</x:v>
      </x:c>
      <x:c r="L19" t="str">
        <x:v>HISTORICAL_IBB_MATCH</x:v>
      </x:c>
      <x:c r="M19" t="str">
        <x:v>Sancaktepe Ağız ve Diş Sağlığı Merkezi</x:v>
      </x:c>
      <x:c r="N19" t="str">
        <x:v>SANCAKTEPE</x:v>
      </x:c>
      <x:c r="O19" t="str">
        <x:v>Müminler Cad. No:1 EYÜP SULTAN/SANCAKTEPE</x:v>
      </x:c>
      <x:c r="P19" t="str">
        <x:v>40.981965000000002</x:v>
      </x:c>
      <x:c r="Q19" t="str">
        <x:v>29.220867999999999</x:v>
      </x:c>
      <x:c r="R19" t="str">
        <x:v>NOT_CHECKED_AGAINST_LIVE_72</x:v>
      </x:c>
      <x:c r="S19" s="11" t="str">
        <x:v>NO</x:v>
      </x:c>
      <x:c r="T19" t="str"/>
      <x:c r="U19" t="str"/>
      <x:c r="V19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19" s="15" t="str">
        <x:v>REVIEW — DO NOT IMPORT</x:v>
      </x:c>
    </x:row>
    <x:row r="20" ht="28" customHeight="1">
      <x:c r="A20" t="str">
        <x:v>B3-R-019</x:v>
      </x:c>
      <x:c r="B20" t="str">
        <x:v>Beykoz Ağız ve Diş Sağlığı Merkezi</x:v>
      </x:c>
      <x:c r="C20" t="str">
        <x:v>CLINIC</x:v>
      </x:c>
      <x:c r="D20" t="str">
        <x:v>İstanbul</x:v>
      </x:c>
      <x:c r="E20" t="str"/>
      <x:c r="F20" t="str"/>
      <x:c r="G20" t="str">
        <x:v>https://beykozadsm.saglik.gov.tr/</x:v>
      </x:c>
      <x:c r="H20" t="str">
        <x:v>OFFICIAL_DIRECTORY_LINK_NOT_SITE_TESTED</x:v>
      </x:c>
      <x:c r="I20" t="str">
        <x:v>https://istanbulism.saglik.gov.tr/TR-228348/baskanlik-bolgesinde-hizmet-veren-hastaneler.html</x:v>
      </x:c>
      <x:c r="J20" t="str">
        <x:v>2021-12-01</x:v>
      </x:c>
      <x:c r="K20" t="str">
        <x:v>NOT_INDIVIDUALLY_VERIFIED_2026</x:v>
      </x:c>
      <x:c r="L20" t="str">
        <x:v>HISTORICAL_IBB_MATCH</x:v>
      </x:c>
      <x:c r="M20" t="str">
        <x:v>Beykoz Ağız ve Diş Sağlığı Merkezi</x:v>
      </x:c>
      <x:c r="N20" t="str">
        <x:v>BEYKOZ</x:v>
      </x:c>
      <x:c r="O20" t="str">
        <x:v>Vatan Cad. No:32 ÇUBUKLU/BEYKOZ</x:v>
      </x:c>
      <x:c r="P20" t="str">
        <x:v>41.097040999999997</x:v>
      </x:c>
      <x:c r="Q20" t="str">
        <x:v>29.091532000000001</x:v>
      </x:c>
      <x:c r="R20" t="str">
        <x:v>NOT_CHECKED_AGAINST_LIVE_72</x:v>
      </x:c>
      <x:c r="S20" s="11" t="str">
        <x:v>NO</x:v>
      </x:c>
      <x:c r="T20" t="str"/>
      <x:c r="U20" t="str"/>
      <x:c r="V20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0" s="15" t="str">
        <x:v>REVIEW — DO NOT IMPORT</x:v>
      </x:c>
    </x:row>
    <x:row r="21" ht="28" customHeight="1">
      <x:c r="A21" t="str">
        <x:v>B3-R-020</x:v>
      </x:c>
      <x:c r="B21" t="str">
        <x:v>Çekmeköy Ağız ve Diş Sağlığı Merkezi</x:v>
      </x:c>
      <x:c r="C21" t="str">
        <x:v>CLINIC</x:v>
      </x:c>
      <x:c r="D21" t="str">
        <x:v>İstanbul</x:v>
      </x:c>
      <x:c r="E21" t="str"/>
      <x:c r="F21" t="str"/>
      <x:c r="G21" t="str">
        <x:v>https://cekmekoyadsm.saglik.gov.tr/</x:v>
      </x:c>
      <x:c r="H21" t="str">
        <x:v>OFFICIAL_DIRECTORY_LINK_NOT_SITE_TESTED</x:v>
      </x:c>
      <x:c r="I21" t="str">
        <x:v>https://istanbulism.saglik.gov.tr/TR-228348/baskanlik-bolgesinde-hizmet-veren-hastaneler.html</x:v>
      </x:c>
      <x:c r="J21" t="str">
        <x:v>2021-12-01</x:v>
      </x:c>
      <x:c r="K21" t="str">
        <x:v>NOT_INDIVIDUALLY_VERIFIED_2026</x:v>
      </x:c>
      <x:c r="L21" t="str">
        <x:v>HISTORICAL_IBB_MATCH</x:v>
      </x:c>
      <x:c r="M21" t="str">
        <x:v>Çekmeköy Ağız ve Diş Sağlığı Merkezi</x:v>
      </x:c>
      <x:c r="N21" t="str">
        <x:v>ÇEKMEKÖY</x:v>
      </x:c>
      <x:c r="O21" t="str">
        <x:v>Ihlamur Cad. No:40 SOĞUKPINAR/ÇEKMEKÖY</x:v>
      </x:c>
      <x:c r="P21" t="str">
        <x:v>41.022917</x:v>
      </x:c>
      <x:c r="Q21" t="str">
        <x:v>29.231293000000001</x:v>
      </x:c>
      <x:c r="R21" t="str">
        <x:v>NOT_CHECKED_AGAINST_LIVE_72</x:v>
      </x:c>
      <x:c r="S21" s="11" t="str">
        <x:v>NO</x:v>
      </x:c>
      <x:c r="T21" t="str"/>
      <x:c r="U21" t="str"/>
      <x:c r="V21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1" s="15" t="str">
        <x:v>REVIEW — DO NOT IMPORT</x:v>
      </x:c>
    </x:row>
    <x:row r="22" ht="28" customHeight="1">
      <x:c r="A22" t="str">
        <x:v>B3-R-021</x:v>
      </x:c>
      <x:c r="B22" t="str">
        <x:v>Üsküdar Ahmet Yüksel Özemre Ağız ve Diş Sağlığı Merkezi</x:v>
      </x:c>
      <x:c r="C22" t="str">
        <x:v>CLINIC</x:v>
      </x:c>
      <x:c r="D22" t="str">
        <x:v>İstanbul</x:v>
      </x:c>
      <x:c r="E22" t="str"/>
      <x:c r="F22" t="str"/>
      <x:c r="G22" t="str">
        <x:v>https://ayouskudaradsm.saglik.gov.tr/</x:v>
      </x:c>
      <x:c r="H22" t="str">
        <x:v>OFFICIAL_DIRECTORY_LINK_NOT_SITE_TESTED</x:v>
      </x:c>
      <x:c r="I22" t="str">
        <x:v>https://istanbulism.saglik.gov.tr/TR-228348/baskanlik-bolgesinde-hizmet-veren-hastaneler.html</x:v>
      </x:c>
      <x:c r="J22" t="str">
        <x:v>2021-12-01</x:v>
      </x:c>
      <x:c r="K22" t="str">
        <x:v>NOT_INDIVIDUALLY_VERIFIED_2026</x:v>
      </x:c>
      <x:c r="L22" t="str">
        <x:v>HISTORICAL_IBB_MATCH</x:v>
      </x:c>
      <x:c r="M22" t="str">
        <x:v>Üsküdar Ahmet Yüksel Özemre Ağız ve Diş Sağlığı Merkezi</x:v>
      </x:c>
      <x:c r="N22" t="str">
        <x:v>ÜSKÜDAR</x:v>
      </x:c>
      <x:c r="O22" t="str">
        <x:v>Prof. Dr. Beynun Akyavaş Cad. No:94 GÜZELTEPE/ÜSKÜDAR</x:v>
      </x:c>
      <x:c r="P22" t="str">
        <x:v>41.052396999999999</x:v>
      </x:c>
      <x:c r="Q22" t="str">
        <x:v>29.068349000000001</x:v>
      </x:c>
      <x:c r="R22" t="str">
        <x:v>NOT_CHECKED_AGAINST_LIVE_72</x:v>
      </x:c>
      <x:c r="S22" s="11" t="str">
        <x:v>NO</x:v>
      </x:c>
      <x:c r="T22" t="str"/>
      <x:c r="U22" t="str"/>
      <x:c r="V2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2" s="15" t="str">
        <x:v>REVIEW — DO NOT IMPORT</x:v>
      </x:c>
    </x:row>
    <x:row r="23" ht="28" customHeight="1">
      <x:c r="A23" t="str">
        <x:v>B3-R-022</x:v>
      </x:c>
      <x:c r="B23" t="str">
        <x:v>Üsküdar Ağız ve Diş Sağlığı Merkezi</x:v>
      </x:c>
      <x:c r="C23" t="str">
        <x:v>CLINIC</x:v>
      </x:c>
      <x:c r="D23" t="str">
        <x:v>İstanbul</x:v>
      </x:c>
      <x:c r="E23" t="str"/>
      <x:c r="F23" t="str"/>
      <x:c r="G23" t="str">
        <x:v>https://uskudaradsm.saglik.gov.tr/</x:v>
      </x:c>
      <x:c r="H23" t="str">
        <x:v>OFFICIAL_DIRECTORY_LINK_NOT_SITE_TESTED</x:v>
      </x:c>
      <x:c r="I23" t="str">
        <x:v>https://istanbulism.saglik.gov.tr/TR-228348/baskanlik-bolgesinde-hizmet-veren-hastaneler.html</x:v>
      </x:c>
      <x:c r="J23" t="str">
        <x:v>2021-12-01</x:v>
      </x:c>
      <x:c r="K23" t="str">
        <x:v>NOT_INDIVIDUALLY_VERIFIED_2026</x:v>
      </x:c>
      <x:c r="L23" t="str">
        <x:v>HISTORICAL_IBB_MATCH</x:v>
      </x:c>
      <x:c r="M23" t="str">
        <x:v>Üsküdar Ağız ve Diş Sağlığı Merkezi</x:v>
      </x:c>
      <x:c r="N23" t="str">
        <x:v>ÜSKÜDAR</x:v>
      </x:c>
      <x:c r="O23" t="str">
        <x:v>Altuncu Sk. No:2 /2 YAVUZTÜRK/ÜSKÜDAR</x:v>
      </x:c>
      <x:c r="P23" t="str">
        <x:v>41.029919999999997</x:v>
      </x:c>
      <x:c r="Q23" t="str">
        <x:v>29.080691999999999</x:v>
      </x:c>
      <x:c r="R23" t="str">
        <x:v>NOT_CHECKED_AGAINST_LIVE_72</x:v>
      </x:c>
      <x:c r="S23" s="11" t="str">
        <x:v>NO</x:v>
      </x:c>
      <x:c r="T23" t="str"/>
      <x:c r="U23" t="str"/>
      <x:c r="V23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3" s="15" t="str">
        <x:v>REVIEW — DO NOT IMPORT</x:v>
      </x:c>
    </x:row>
    <x:row r="24" ht="28" customHeight="1">
      <x:c r="A24" t="str">
        <x:v>B3-R-023</x:v>
      </x:c>
      <x:c r="B24" t="str">
        <x:v>Bahçelievler Devlet Hastanesi</x:v>
      </x:c>
      <x:c r="C24" t="str">
        <x:v>HOSPITAL</x:v>
      </x:c>
      <x:c r="D24" t="str">
        <x:v>İstanbul</x:v>
      </x:c>
      <x:c r="E24" t="str"/>
      <x:c r="F24" t="str"/>
      <x:c r="G24" t="str">
        <x:v>https://bahcelievlerdh.saglik.gov.tr/</x:v>
      </x:c>
      <x:c r="H24" t="str">
        <x:v>OFFICIAL_DIRECTORY_LINK_NOT_SITE_TESTED</x:v>
      </x:c>
      <x:c r="I24" t="str">
        <x:v>https://istanbulism.saglik.gov.tr/TR-228379/baskanlik-bolgesinde-hizmet-veren-hastaneler.html</x:v>
      </x:c>
      <x:c r="J24" t="str">
        <x:v>2021-12-01</x:v>
      </x:c>
      <x:c r="K24" t="str">
        <x:v>NOT_INDIVIDUALLY_VERIFIED_2026</x:v>
      </x:c>
      <x:c r="L24" t="str">
        <x:v>HISTORICAL_IBB_MATCH</x:v>
      </x:c>
      <x:c r="M24" t="str">
        <x:v>Bahçelievler Devlet Hastanesi</x:v>
      </x:c>
      <x:c r="N24" t="str">
        <x:v>BAHÇELİEVLER</x:v>
      </x:c>
      <x:c r="O24" t="str">
        <x:v>Hastane Cad. No:7 -9 KOCASİNAN MERKEZ/BAHÇELİEVLER</x:v>
      </x:c>
      <x:c r="P24" t="str">
        <x:v>41.005712000000003</x:v>
      </x:c>
      <x:c r="Q24" t="str">
        <x:v>28.844152000000001</x:v>
      </x:c>
      <x:c r="R24" t="str">
        <x:v>NOT_CHECKED_AGAINST_LIVE_72</x:v>
      </x:c>
      <x:c r="S24" s="11" t="str">
        <x:v>NO</x:v>
      </x:c>
      <x:c r="T24" t="str"/>
      <x:c r="U24" t="str"/>
      <x:c r="V24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4" s="15" t="str">
        <x:v>REVIEW — DO NOT IMPORT</x:v>
      </x:c>
    </x:row>
    <x:row r="25" ht="28" customHeight="1">
      <x:c r="A25" t="str">
        <x:v>B3-R-024</x:v>
      </x:c>
      <x:c r="B25" t="str">
        <x:v>Bağcılar Eğitim ve Araştırma Hastanesi</x:v>
      </x:c>
      <x:c r="C25" t="str">
        <x:v>HOSPITAL</x:v>
      </x:c>
      <x:c r="D25" t="str">
        <x:v>İstanbul</x:v>
      </x:c>
      <x:c r="E25" t="str"/>
      <x:c r="F25" t="str"/>
      <x:c r="G25" t="str">
        <x:v>https://bagcilareah.saglik.gov.tr/</x:v>
      </x:c>
      <x:c r="H25" t="str">
        <x:v>OFFICIAL_DIRECTORY_LINK_NOT_SITE_TESTED</x:v>
      </x:c>
      <x:c r="I25" t="str">
        <x:v>https://istanbulism.saglik.gov.tr/TR-228379/baskanlik-bolgesinde-hizmet-veren-hastaneler.html</x:v>
      </x:c>
      <x:c r="J25" t="str">
        <x:v>2021-12-01</x:v>
      </x:c>
      <x:c r="K25" t="str">
        <x:v>NOT_INDIVIDUALLY_VERIFIED_2026</x:v>
      </x:c>
      <x:c r="L25" t="str">
        <x:v>MULTIPLE_IBB_MATCHES</x:v>
      </x:c>
      <x:c r="M25" t="str">
        <x:v>SBÜ İstanbul Bağcılar Eğitim ve Araştırma Hastanesi</x:v>
      </x:c>
      <x:c r="N25" t="str">
        <x:v>BAĞCILAR</x:v>
      </x:c>
      <x:c r="O25" t="str">
        <x:v>Dr. Sadık Ahmet Cad. No:5 /1 MERKEZ/BAĞCILAR</x:v>
      </x:c>
      <x:c r="P25" t="str">
        <x:v>41.030019000000003</x:v>
      </x:c>
      <x:c r="Q25" t="str">
        <x:v>28.870246999999999</x:v>
      </x:c>
      <x:c r="R25" t="str">
        <x:v>NOT_CHECKED_AGAINST_LIVE_72</x:v>
      </x:c>
      <x:c r="S25" s="11" t="str">
        <x:v>NO</x:v>
      </x:c>
      <x:c r="T25" t="str"/>
      <x:c r="U25" t="str">
        <x:v>MULTIPLE_HISTORIC_LOCATIONS</x:v>
      </x:c>
      <x:c r="V25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25" s="15" t="str">
        <x:v>REVIEW — DO NOT IMPORT</x:v>
      </x:c>
    </x:row>
    <x:row r="26" ht="28" customHeight="1">
      <x:c r="A26" t="str">
        <x:v>B3-R-025</x:v>
      </x:c>
      <x:c r="B26" t="str">
        <x:v>İstanbul Fizik Tedavi ve Rehabilitasyon Eğitim ve Araştırma Hastanesi</x:v>
      </x:c>
      <x:c r="C26" t="str">
        <x:v>HOSPITAL</x:v>
      </x:c>
      <x:c r="D26" t="str">
        <x:v>İstanbul</x:v>
      </x:c>
      <x:c r="E26" t="str"/>
      <x:c r="F26" t="str"/>
      <x:c r="G26" t="str">
        <x:v>https://istanbulftreah.saglik.gov.tr/</x:v>
      </x:c>
      <x:c r="H26" t="str">
        <x:v>OFFICIAL_DIRECTORY_LINK_NOT_SITE_TESTED</x:v>
      </x:c>
      <x:c r="I26" t="str">
        <x:v>https://istanbulism.saglik.gov.tr/TR-228379/baskanlik-bolgesinde-hizmet-veren-hastaneler.html</x:v>
      </x:c>
      <x:c r="J26" t="str">
        <x:v>2021-12-01</x:v>
      </x:c>
      <x:c r="K26" t="str">
        <x:v>NOT_INDIVIDUALLY_VERIFIED_2026</x:v>
      </x:c>
      <x:c r="L26" t="str">
        <x:v>HISTORICAL_IBB_MATCH</x:v>
      </x:c>
      <x:c r="M26" t="str">
        <x:v>Sbü İstanbul Fizik Tedavi ve Rehabilitasyon Eğitim ve Araştırma Hastanesi</x:v>
      </x:c>
      <x:c r="N26" t="str">
        <x:v>BAHÇELİEVLER</x:v>
      </x:c>
      <x:c r="O26" t="str">
        <x:v>Hastane Cad. No:7 -9 KOCASİNAN MERKEZ/BAHÇELİEVLER</x:v>
      </x:c>
      <x:c r="P26" t="str">
        <x:v>41.005716</x:v>
      </x:c>
      <x:c r="Q26" t="str">
        <x:v>28.844161</x:v>
      </x:c>
      <x:c r="R26" t="str">
        <x:v>NOT_CHECKED_AGAINST_LIVE_72</x:v>
      </x:c>
      <x:c r="S26" s="11" t="str">
        <x:v>NO</x:v>
      </x:c>
      <x:c r="T26" t="str"/>
      <x:c r="U26" t="str"/>
      <x:c r="V26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6" s="15" t="str">
        <x:v>REVIEW — DO NOT IMPORT</x:v>
      </x:c>
    </x:row>
    <x:row r="27" ht="28" customHeight="1">
      <x:c r="A27" t="str">
        <x:v>B3-R-026</x:v>
      </x:c>
      <x:c r="B27" t="str">
        <x:v>İstanbul Lepra Deri ve Zührevi Hastalıkları Hastanesi</x:v>
      </x:c>
      <x:c r="C27" t="str">
        <x:v>HOSPITAL</x:v>
      </x:c>
      <x:c r="D27" t="str">
        <x:v>İstanbul</x:v>
      </x:c>
      <x:c r="E27" t="str"/>
      <x:c r="F27" t="str"/>
      <x:c r="G27" t="str">
        <x:v>https://istanbullepra.saglik.gov.tr/</x:v>
      </x:c>
      <x:c r="H27" t="str">
        <x:v>OFFICIAL_DIRECTORY_LINK_NOT_SITE_TESTED</x:v>
      </x:c>
      <x:c r="I27" t="str">
        <x:v>https://istanbulism.saglik.gov.tr/TR-228379/baskanlik-bolgesinde-hizmet-veren-hastaneler.html</x:v>
      </x:c>
      <x:c r="J27" t="str">
        <x:v>2021-12-01</x:v>
      </x:c>
      <x:c r="K27" t="str">
        <x:v>NOT_INDIVIDUALLY_VERIFIED_2026</x:v>
      </x:c>
      <x:c r="L27" t="str">
        <x:v>HISTORICAL_IBB_MATCH</x:v>
      </x:c>
      <x:c r="M27" t="str">
        <x:v>Lepra Deri Zührevi Hastaliklari Hastanesi</x:v>
      </x:c>
      <x:c r="N27" t="str">
        <x:v>BAKIRKÖY</x:v>
      </x:c>
      <x:c r="O27" t="str">
        <x:v>Dr. Tevfik Sağlam Cad. No:26 /3 ZUHURATBABA/BAKIRKÖY</x:v>
      </x:c>
      <x:c r="P27" t="str">
        <x:v>40.989559999999997</x:v>
      </x:c>
      <x:c r="Q27" t="str">
        <x:v>28.859044999999998</x:v>
      </x:c>
      <x:c r="R27" t="str">
        <x:v>NOT_CHECKED_AGAINST_LIVE_72</x:v>
      </x:c>
      <x:c r="S27" s="11" t="str">
        <x:v>NO</x:v>
      </x:c>
      <x:c r="T27" t="str"/>
      <x:c r="U27" t="str"/>
      <x:c r="V27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7" s="15" t="str">
        <x:v>REVIEW — DO NOT IMPORT</x:v>
      </x:c>
    </x:row>
    <x:row r="28" ht="28" customHeight="1">
      <x:c r="A28" t="str">
        <x:v>B3-R-027</x:v>
      </x:c>
      <x:c r="B28" t="str">
        <x:v>Esenler Kadın Doğum ve Çocuk Hastalıkları Hastanesi</x:v>
      </x:c>
      <x:c r="C28" t="str">
        <x:v>HOSPITAL</x:v>
      </x:c>
      <x:c r="D28" t="str">
        <x:v>İstanbul</x:v>
      </x:c>
      <x:c r="E28" t="str"/>
      <x:c r="F28" t="str"/>
      <x:c r="G28" t="str">
        <x:v>https://esenlerkdch.saglik.gov.tr/</x:v>
      </x:c>
      <x:c r="H28" t="str">
        <x:v>OFFICIAL_DIRECTORY_LINK_NOT_SITE_TESTED</x:v>
      </x:c>
      <x:c r="I28" t="str">
        <x:v>https://istanbulism.saglik.gov.tr/TR-228379/baskanlik-bolgesinde-hizmet-veren-hastaneler.html</x:v>
      </x:c>
      <x:c r="J28" t="str">
        <x:v>2021-12-01</x:v>
      </x:c>
      <x:c r="K28" t="str">
        <x:v>2026_OFFICIAL_CLINICAL_CONTENT_FOUND_REVIEW_LOCATION</x:v>
      </x:c>
      <x:c r="L28" t="str">
        <x:v>HISTORICAL_IBB_MATCH</x:v>
      </x:c>
      <x:c r="M28" t="str">
        <x:v>T.C. Sağlık Bakanlığı Esenler Kadın Doğum ve Çocuk Hastalıkları Hastanesi</x:v>
      </x:c>
      <x:c r="N28" t="str">
        <x:v>ESENLER</x:v>
      </x:c>
      <x:c r="O28" t="str">
        <x:v>Taşocağı Cad. No:17 HAVAALANI/ESENLER</x:v>
      </x:c>
      <x:c r="P28" t="str">
        <x:v>41.055610999999999</x:v>
      </x:c>
      <x:c r="Q28" t="str">
        <x:v>28.869319000000001</x:v>
      </x:c>
      <x:c r="R28" t="str">
        <x:v>NOT_CHECKED_AGAINST_LIVE_72</x:v>
      </x:c>
      <x:c r="S28" s="11" t="str">
        <x:v>NO</x:v>
      </x:c>
      <x:c r="T28" t="str">
        <x:v>https://esenlerkdch.saglik.gov.tr/TR-1063322/doktorlarimiz.html</x:v>
      </x:c>
      <x:c r="U28" t="str"/>
      <x:c r="V28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8" s="15" t="str">
        <x:v>REVIEW — DO NOT IMPORT</x:v>
      </x:c>
    </x:row>
    <x:row r="29" ht="28" customHeight="1">
      <x:c r="A29" t="str">
        <x:v>B3-R-028</x:v>
      </x:c>
      <x:c r="B29" t="str">
        <x:v>Bahçelievler Ağız ve Diş Sağlığı Merkezi</x:v>
      </x:c>
      <x:c r="C29" t="str">
        <x:v>CLINIC</x:v>
      </x:c>
      <x:c r="D29" t="str">
        <x:v>İstanbul</x:v>
      </x:c>
      <x:c r="E29" t="str"/>
      <x:c r="F29" t="str"/>
      <x:c r="G29" t="str">
        <x:v>https://bahcelievleradsm.saglik.gov.tr/</x:v>
      </x:c>
      <x:c r="H29" t="str">
        <x:v>OFFICIAL_DIRECTORY_LINK_NOT_SITE_TESTED</x:v>
      </x:c>
      <x:c r="I29" t="str">
        <x:v>https://istanbulism.saglik.gov.tr/TR-228379/baskanlik-bolgesinde-hizmet-veren-hastaneler.html</x:v>
      </x:c>
      <x:c r="J29" t="str">
        <x:v>2021-12-01</x:v>
      </x:c>
      <x:c r="K29" t="str">
        <x:v>NOT_INDIVIDUALLY_VERIFIED_2026</x:v>
      </x:c>
      <x:c r="L29" t="str">
        <x:v>HISTORICAL_IBB_MATCH</x:v>
      </x:c>
      <x:c r="M29" t="str">
        <x:v>Bahçelievler Ağız ve Diş Sağlığı Merkezi</x:v>
      </x:c>
      <x:c r="N29" t="str">
        <x:v>BAHÇELİEVLER</x:v>
      </x:c>
      <x:c r="O29" t="str">
        <x:v>Adnan Kahveci Bulvarı No:141 BAHÇELİEVLER/BAHÇELİEVLER</x:v>
      </x:c>
      <x:c r="P29" t="str">
        <x:v>40.997022000000001</x:v>
      </x:c>
      <x:c r="Q29" t="str">
        <x:v>28.855881</x:v>
      </x:c>
      <x:c r="R29" t="str">
        <x:v>NOT_CHECKED_AGAINST_LIVE_72</x:v>
      </x:c>
      <x:c r="S29" s="11" t="str">
        <x:v>NO</x:v>
      </x:c>
      <x:c r="T29" t="str"/>
      <x:c r="U29" t="str"/>
      <x:c r="V29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29" s="15" t="str">
        <x:v>REVIEW — DO NOT IMPORT</x:v>
      </x:c>
    </x:row>
    <x:row r="30" ht="28" customHeight="1">
      <x:c r="A30" t="str">
        <x:v>B3-R-029</x:v>
      </x:c>
      <x:c r="B30" t="str">
        <x:v>Güngören Ağız ve Diş Sağlığı Merkezi</x:v>
      </x:c>
      <x:c r="C30" t="str">
        <x:v>CLINIC</x:v>
      </x:c>
      <x:c r="D30" t="str">
        <x:v>İstanbul</x:v>
      </x:c>
      <x:c r="E30" t="str"/>
      <x:c r="F30" t="str"/>
      <x:c r="G30" t="str">
        <x:v>https://gungorenadsm.saglik.gov.tr/</x:v>
      </x:c>
      <x:c r="H30" t="str">
        <x:v>OFFICIAL_DIRECTORY_LINK_NOT_SITE_TESTED</x:v>
      </x:c>
      <x:c r="I30" t="str">
        <x:v>https://istanbulism.saglik.gov.tr/TR-228379/baskanlik-bolgesinde-hizmet-veren-hastaneler.html</x:v>
      </x:c>
      <x:c r="J30" t="str">
        <x:v>2021-12-01</x:v>
      </x:c>
      <x:c r="K30" t="str">
        <x:v>NOT_INDIVIDUALLY_VERIFIED_2026</x:v>
      </x:c>
      <x:c r="L30" t="str">
        <x:v>HISTORICAL_IBB_MATCH</x:v>
      </x:c>
      <x:c r="M30" t="str">
        <x:v>Güngören Ağız ve Diş Sağlığı Merkezi</x:v>
      </x:c>
      <x:c r="N30" t="str">
        <x:v>GÜNGÖREN</x:v>
      </x:c>
      <x:c r="O30" t="str">
        <x:v>Ünlü Sk. No:6 A MERKEZ/GÜNGÖREN</x:v>
      </x:c>
      <x:c r="P30" t="str">
        <x:v>41.021751000000002</x:v>
      </x:c>
      <x:c r="Q30" t="str">
        <x:v>28.870981</x:v>
      </x:c>
      <x:c r="R30" t="str">
        <x:v>NOT_CHECKED_AGAINST_LIVE_72</x:v>
      </x:c>
      <x:c r="S30" s="11" t="str">
        <x:v>NO</x:v>
      </x:c>
      <x:c r="T30" t="str"/>
      <x:c r="U30" t="str"/>
      <x:c r="V30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0" s="15" t="str">
        <x:v>REVIEW — DO NOT IMPORT</x:v>
      </x:c>
    </x:row>
    <x:row r="31" ht="28" customHeight="1">
      <x:c r="A31" t="str">
        <x:v>B3-R-030</x:v>
      </x:c>
      <x:c r="B31" t="str">
        <x:v>Bağcılar Ağız ve Diş Sağlığı Hastanesi</x:v>
      </x:c>
      <x:c r="C31" t="str">
        <x:v>CLINIC</x:v>
      </x:c>
      <x:c r="D31" t="str">
        <x:v>İstanbul</x:v>
      </x:c>
      <x:c r="E31" t="str"/>
      <x:c r="F31" t="str"/>
      <x:c r="G31" t="str">
        <x:v>https://bagcilaradsh.saglik.gov.tr/</x:v>
      </x:c>
      <x:c r="H31" t="str">
        <x:v>OFFICIAL_DIRECTORY_LINK_NOT_SITE_TESTED</x:v>
      </x:c>
      <x:c r="I31" t="str">
        <x:v>https://istanbulism.saglik.gov.tr/TR-228379/baskanlik-bolgesinde-hizmet-veren-hastaneler.html</x:v>
      </x:c>
      <x:c r="J31" t="str">
        <x:v>2021-12-01</x:v>
      </x:c>
      <x:c r="K31" t="str">
        <x:v>NOT_INDIVIDUALLY_VERIFIED_2026</x:v>
      </x:c>
      <x:c r="L31" t="str">
        <x:v>HISTORICAL_IBB_MATCH</x:v>
      </x:c>
      <x:c r="M31" t="str">
        <x:v>Bağcılar Ağiz ve Diş Sağliği Hastanesi</x:v>
      </x:c>
      <x:c r="N31" t="str">
        <x:v>BAĞCILAR</x:v>
      </x:c>
      <x:c r="O31" t="str">
        <x:v>Velioğlu Cad. No:93 DEMİRKAPI/BAĞCILAR</x:v>
      </x:c>
      <x:c r="P31" t="str">
        <x:v>41.050463000000001</x:v>
      </x:c>
      <x:c r="Q31" t="str">
        <x:v>28.841972999999999</x:v>
      </x:c>
      <x:c r="R31" t="str">
        <x:v>NOT_CHECKED_AGAINST_LIVE_72</x:v>
      </x:c>
      <x:c r="S31" s="11" t="str">
        <x:v>NO</x:v>
      </x:c>
      <x:c r="T31" t="str"/>
      <x:c r="U31" t="str"/>
      <x:c r="V31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1" s="15" t="str">
        <x:v>REVIEW — DO NOT IMPORT</x:v>
      </x:c>
    </x:row>
    <x:row r="32" ht="28" customHeight="1">
      <x:c r="A32" t="str">
        <x:v>B3-R-031</x:v>
      </x:c>
      <x:c r="B32" t="str">
        <x:v>Metin Sabancı Baltalimanı Kemik Hastalıkları Eğitim ve Araştırma Hastanesi</x:v>
      </x:c>
      <x:c r="C32" t="str">
        <x:v>HOSPITAL</x:v>
      </x:c>
      <x:c r="D32" t="str">
        <x:v>İstanbul</x:v>
      </x:c>
      <x:c r="E32" t="str"/>
      <x:c r="F32" t="str"/>
      <x:c r="G32" t="str">
        <x:v>https://baltalimanieah.saglik.gov.tr/</x:v>
      </x:c>
      <x:c r="H32" t="str">
        <x:v>OFFICIAL_DIRECTORY_LINK_NOT_SITE_TESTED</x:v>
      </x:c>
      <x:c r="I32" t="str">
        <x:v>https://istanbulism.saglik.gov.tr/TR-228391/baskanlik-bolgesinde-hizmet-veren-hastaneler.html</x:v>
      </x:c>
      <x:c r="J32" t="str">
        <x:v>2023-09-28</x:v>
      </x:c>
      <x:c r="K32" t="str">
        <x:v>NOT_INDIVIDUALLY_VERIFIED_2026</x:v>
      </x:c>
      <x:c r="L32" t="str">
        <x:v>HISTORICAL_IBB_MATCH</x:v>
      </x:c>
      <x:c r="M32" t="str">
        <x:v>Metin Sabancı Baltalimanı Kemik Hastalıkları Eğitim ve Araştırma Hastanesi</x:v>
      </x:c>
      <x:c r="N32" t="str">
        <x:v>SARIYER</x:v>
      </x:c>
      <x:c r="O32" t="str">
        <x:v>Baltalimanı Hisar Cad. No:56 BALTALİMANI/SARIYER</x:v>
      </x:c>
      <x:c r="P32" t="str">
        <x:v>41.095759999999999</x:v>
      </x:c>
      <x:c r="Q32" t="str">
        <x:v>29.053369</x:v>
      </x:c>
      <x:c r="R32" t="str">
        <x:v>NOT_CHECKED_AGAINST_LIVE_72</x:v>
      </x:c>
      <x:c r="S32" s="11" t="str">
        <x:v>NO</x:v>
      </x:c>
      <x:c r="T32" t="str"/>
      <x:c r="U32" t="str"/>
      <x:c r="V3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2" s="15" t="str">
        <x:v>REVIEW — DO NOT IMPORT</x:v>
      </x:c>
    </x:row>
    <x:row r="33" ht="28" customHeight="1">
      <x:c r="A33" t="str">
        <x:v>B3-R-032</x:v>
      </x:c>
      <x:c r="B33" t="str">
        <x:v>Prof. Dr. N. Reşat Belger Beyoğlu Göz Eğitim ve Araştırma Hastanesi</x:v>
      </x:c>
      <x:c r="C33" t="str">
        <x:v>HOSPITAL</x:v>
      </x:c>
      <x:c r="D33" t="str">
        <x:v>İstanbul</x:v>
      </x:c>
      <x:c r="E33" t="str"/>
      <x:c r="F33" t="str"/>
      <x:c r="G33" t="str">
        <x:v>https://beyoglugozeah.saglik.gov.tr/</x:v>
      </x:c>
      <x:c r="H33" t="str">
        <x:v>OFFICIAL_DIRECTORY_LINK_NOT_SITE_TESTED</x:v>
      </x:c>
      <x:c r="I33" t="str">
        <x:v>https://istanbulism.saglik.gov.tr/TR-228391/baskanlik-bolgesinde-hizmet-veren-hastaneler.html</x:v>
      </x:c>
      <x:c r="J33" t="str">
        <x:v>2023-09-28</x:v>
      </x:c>
      <x:c r="K33" t="str">
        <x:v>NOT_INDIVIDUALLY_VERIFIED_2026</x:v>
      </x:c>
      <x:c r="L33" t="str">
        <x:v>HISTORICAL_IBB_MATCH</x:v>
      </x:c>
      <x:c r="M33" t="str">
        <x:v>İstanbul Prof. Dr. N. Reşat Belger Beyoğlu Göz Eğitim ve Araştırma Hastanesi</x:v>
      </x:c>
      <x:c r="N33" t="str">
        <x:v>BEYOĞLU</x:v>
      </x:c>
      <x:c r="O33" t="str">
        <x:v>Bereketzade Medresesi Sk. No:2 BEREKETZADE/BEYOĞLU</x:v>
      </x:c>
      <x:c r="P33" t="str">
        <x:v>41.024760999999998</x:v>
      </x:c>
      <x:c r="Q33" t="str">
        <x:v>28.974011999999998</x:v>
      </x:c>
      <x:c r="R33" t="str">
        <x:v>NOT_CHECKED_AGAINST_LIVE_72</x:v>
      </x:c>
      <x:c r="S33" s="11" t="str">
        <x:v>NO</x:v>
      </x:c>
      <x:c r="T33" t="str"/>
      <x:c r="U33" t="str"/>
      <x:c r="V33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3" s="15" t="str">
        <x:v>REVIEW — DO NOT IMPORT</x:v>
      </x:c>
    </x:row>
    <x:row r="34" ht="28" customHeight="1">
      <x:c r="A34" t="str">
        <x:v>B3-R-033</x:v>
      </x:c>
      <x:c r="B34" t="str">
        <x:v>Eyüpsultan Devlet Hastanesi</x:v>
      </x:c>
      <x:c r="C34" t="str">
        <x:v>HOSPITAL</x:v>
      </x:c>
      <x:c r="D34" t="str">
        <x:v>İstanbul</x:v>
      </x:c>
      <x:c r="E34" t="str"/>
      <x:c r="F34" t="str"/>
      <x:c r="G34" t="str">
        <x:v>https://eyupdh.saglik.gov.tr/</x:v>
      </x:c>
      <x:c r="H34" t="str">
        <x:v>OFFICIAL_DIRECTORY_LINK_NOT_SITE_TESTED</x:v>
      </x:c>
      <x:c r="I34" t="str">
        <x:v>https://istanbulism.saglik.gov.tr/TR-228391/baskanlik-bolgesinde-hizmet-veren-hastaneler.html</x:v>
      </x:c>
      <x:c r="J34" t="str">
        <x:v>2023-09-28</x:v>
      </x:c>
      <x:c r="K34" t="str">
        <x:v>NOT_INDIVIDUALLY_VERIFIED_2026</x:v>
      </x:c>
      <x:c r="L34" t="str">
        <x:v>NO_RELIABLE_IBB_MATCH</x:v>
      </x:c>
      <x:c r="M34" t="str"/>
      <x:c r="N34" t="str"/>
      <x:c r="O34" t="str"/>
      <x:c r="P34" t="str"/>
      <x:c r="Q34" t="str"/>
      <x:c r="R34" t="str">
        <x:v>NOT_CHECKED_AGAINST_LIVE_72</x:v>
      </x:c>
      <x:c r="S34" s="11" t="str">
        <x:v>NO</x:v>
      </x:c>
      <x:c r="T34" t="str"/>
      <x:c r="U34" t="str">
        <x:v>MISSING_HISTORIC_LOCATION</x:v>
      </x:c>
      <x:c r="V34" s="8" t="str">
        <x:v>İSM güncel erişilebilir sayfada kurumu ve resmî bağlantıyı listeliyor; sayfanın tarihi faaliyet ve şube için yeterli değil. Tarihî İBB kaydında güvenilir tekil eşleşme bulunamadı.</x:v>
      </x:c>
      <x:c r="W34" s="15" t="str">
        <x:v>REVIEW — DO NOT IMPORT</x:v>
      </x:c>
    </x:row>
    <x:row r="35" ht="28" customHeight="1">
      <x:c r="A35" t="str">
        <x:v>B3-R-034</x:v>
      </x:c>
      <x:c r="B35" t="str">
        <x:v>Beşiktaş Sait Çiftçi Devlet Hastanesi</x:v>
      </x:c>
      <x:c r="C35" t="str">
        <x:v>HOSPITAL</x:v>
      </x:c>
      <x:c r="D35" t="str">
        <x:v>İstanbul</x:v>
      </x:c>
      <x:c r="E35" t="str"/>
      <x:c r="F35" t="str"/>
      <x:c r="G35" t="str">
        <x:v>https://saitciftcidh.saglik.gov.tr/</x:v>
      </x:c>
      <x:c r="H35" t="str">
        <x:v>OFFICIAL_DIRECTORY_LINK_NOT_SITE_TESTED</x:v>
      </x:c>
      <x:c r="I35" t="str">
        <x:v>https://istanbulism.saglik.gov.tr/TR-228391/baskanlik-bolgesinde-hizmet-veren-hastaneler.html</x:v>
      </x:c>
      <x:c r="J35" t="str">
        <x:v>2023-09-28</x:v>
      </x:c>
      <x:c r="K35" t="str">
        <x:v>NOT_INDIVIDUALLY_VERIFIED_2026</x:v>
      </x:c>
      <x:c r="L35" t="str">
        <x:v>HISTORICAL_IBB_MATCH</x:v>
      </x:c>
      <x:c r="M35" t="str">
        <x:v>T.C. Sağlık Bakanlığı Beşiktaş Sait Çiftçi Devlet Hastanesi</x:v>
      </x:c>
      <x:c r="N35" t="str">
        <x:v>BEŞİKTAŞ</x:v>
      </x:c>
      <x:c r="O35" t="str">
        <x:v>Barbaros Bulvarı No:109 DİKİLİTAŞ/BEŞİKTAŞ</x:v>
      </x:c>
      <x:c r="P35" t="str">
        <x:v>41.052024000000003</x:v>
      </x:c>
      <x:c r="Q35" t="str">
        <x:v>29.008434000000001</x:v>
      </x:c>
      <x:c r="R35" t="str">
        <x:v>NOT_CHECKED_AGAINST_LIVE_72</x:v>
      </x:c>
      <x:c r="S35" s="11" t="str">
        <x:v>NO</x:v>
      </x:c>
      <x:c r="T35" t="str"/>
      <x:c r="U35" t="str"/>
      <x:c r="V35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5" s="15" t="str">
        <x:v>REVIEW — DO NOT IMPORT</x:v>
      </x:c>
    </x:row>
    <x:row r="36" ht="28" customHeight="1">
      <x:c r="A36" t="str">
        <x:v>B3-R-035</x:v>
      </x:c>
      <x:c r="B36" t="str">
        <x:v>Sarıyer Ağız ve Diş Sağlığı Merkezi</x:v>
      </x:c>
      <x:c r="C36" t="str">
        <x:v>CLINIC</x:v>
      </x:c>
      <x:c r="D36" t="str">
        <x:v>İstanbul</x:v>
      </x:c>
      <x:c r="E36" t="str"/>
      <x:c r="F36" t="str"/>
      <x:c r="G36" t="str">
        <x:v>https://sariyeradsm.saglik.gov.tr/</x:v>
      </x:c>
      <x:c r="H36" t="str">
        <x:v>OFFICIAL_DIRECTORY_LINK_NOT_SITE_TESTED</x:v>
      </x:c>
      <x:c r="I36" t="str">
        <x:v>https://istanbulism.saglik.gov.tr/TR-228391/baskanlik-bolgesinde-hizmet-veren-hastaneler.html</x:v>
      </x:c>
      <x:c r="J36" t="str">
        <x:v>2023-09-28</x:v>
      </x:c>
      <x:c r="K36" t="str">
        <x:v>NOT_INDIVIDUALLY_VERIFIED_2026</x:v>
      </x:c>
      <x:c r="L36" t="str">
        <x:v>HISTORICAL_IBB_MATCH</x:v>
      </x:c>
      <x:c r="M36" t="str">
        <x:v>Sarıyer Ağız Diş Sağlığı Merkezi</x:v>
      </x:c>
      <x:c r="N36" t="str">
        <x:v>SARIYER</x:v>
      </x:c>
      <x:c r="O36" t="str">
        <x:v>Araba Yolu Cad. No:35 CUMHURİYET/SARIYER</x:v>
      </x:c>
      <x:c r="P36" t="str">
        <x:v>41.144744000000003</x:v>
      </x:c>
      <x:c r="Q36" t="str">
        <x:v>29.031542999999999</x:v>
      </x:c>
      <x:c r="R36" t="str">
        <x:v>NOT_CHECKED_AGAINST_LIVE_72</x:v>
      </x:c>
      <x:c r="S36" s="11" t="str">
        <x:v>NO</x:v>
      </x:c>
      <x:c r="T36" t="str"/>
      <x:c r="U36" t="str"/>
      <x:c r="V36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6" s="15" t="str">
        <x:v>REVIEW — DO NOT IMPORT</x:v>
      </x:c>
    </x:row>
    <x:row r="37" ht="28" customHeight="1">
      <x:c r="A37" t="str">
        <x:v>B3-R-036</x:v>
      </x:c>
      <x:c r="B37" t="str">
        <x:v>Eyüpsultan Ağız ve Diş Sağlığı Merkezi</x:v>
      </x:c>
      <x:c r="C37" t="str">
        <x:v>CLINIC</x:v>
      </x:c>
      <x:c r="D37" t="str">
        <x:v>İstanbul</x:v>
      </x:c>
      <x:c r="E37" t="str"/>
      <x:c r="F37" t="str"/>
      <x:c r="G37" t="str">
        <x:v>https://eyupsultanadsm.saglik.gov.tr/</x:v>
      </x:c>
      <x:c r="H37" t="str">
        <x:v>OFFICIAL_DIRECTORY_LINK_NOT_SITE_TESTED</x:v>
      </x:c>
      <x:c r="I37" t="str">
        <x:v>https://istanbulism.saglik.gov.tr/TR-228391/baskanlik-bolgesinde-hizmet-veren-hastaneler.html</x:v>
      </x:c>
      <x:c r="J37" t="str">
        <x:v>2023-09-28</x:v>
      </x:c>
      <x:c r="K37" t="str">
        <x:v>NOT_INDIVIDUALLY_VERIFIED_2026</x:v>
      </x:c>
      <x:c r="L37" t="str">
        <x:v>HISTORICAL_IBB_MATCH</x:v>
      </x:c>
      <x:c r="M37" t="str">
        <x:v>Eyüpsultan Ağız ve Diş Sağlığı Merkezi</x:v>
      </x:c>
      <x:c r="N37" t="str">
        <x:v>EYÜPSULTAN</x:v>
      </x:c>
      <x:c r="O37" t="str">
        <x:v>Vardar Bulvarı No:40 KARADOLAP/EYÜPSULTAN</x:v>
      </x:c>
      <x:c r="P37" t="str">
        <x:v>41.074162000000001</x:v>
      </x:c>
      <x:c r="Q37" t="str">
        <x:v>28.940977</x:v>
      </x:c>
      <x:c r="R37" t="str">
        <x:v>NOT_CHECKED_AGAINST_LIVE_72</x:v>
      </x:c>
      <x:c r="S37" s="11" t="str">
        <x:v>NO</x:v>
      </x:c>
      <x:c r="T37" t="str"/>
      <x:c r="U37" t="str"/>
      <x:c r="V37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7" s="15" t="str">
        <x:v>REVIEW — DO NOT IMPORT</x:v>
      </x:c>
    </x:row>
    <x:row r="38" ht="28" customHeight="1">
      <x:c r="A38" t="str">
        <x:v>B3-R-037</x:v>
      </x:c>
      <x:c r="B38" t="str">
        <x:v>Arnavutköy Devlet Hastanesi</x:v>
      </x:c>
      <x:c r="C38" t="str">
        <x:v>HOSPITAL</x:v>
      </x:c>
      <x:c r="D38" t="str">
        <x:v>İstanbul</x:v>
      </x:c>
      <x:c r="E38" t="str"/>
      <x:c r="F38" t="str"/>
      <x:c r="G38" t="str">
        <x:v>https://arnavutkoydh.saglik.gov.tr/</x:v>
      </x:c>
      <x:c r="H38" t="str">
        <x:v>OFFICIAL_DIRECTORY_LINK_NOT_SITE_TESTED</x:v>
      </x:c>
      <x:c r="I38" t="str">
        <x:v>https://istanbulism.saglik.gov.tr/TR-228401/baskanlik-bolgesinde-hizmet-veren-hastaneler.html</x:v>
      </x:c>
      <x:c r="J38" t="str">
        <x:v>2021-12-01</x:v>
      </x:c>
      <x:c r="K38" t="str">
        <x:v>NOT_INDIVIDUALLY_VERIFIED_2026</x:v>
      </x:c>
      <x:c r="L38" t="str">
        <x:v>HISTORICAL_IBB_MATCH</x:v>
      </x:c>
      <x:c r="M38" t="str">
        <x:v>T.C. Sağlık Bakanlığı Arnavutköy Devlet Hastanesi</x:v>
      </x:c>
      <x:c r="N38" t="str">
        <x:v>ARNAVUTKÖY</x:v>
      </x:c>
      <x:c r="O38" t="str">
        <x:v>Eski Edirne Asfaltı Cad. No:1165 ARNAVUTKÖY MERKEZ/ARNAVUTKÖY</x:v>
      </x:c>
      <x:c r="P38" t="str">
        <x:v>41.177743</x:v>
      </x:c>
      <x:c r="Q38" t="str">
        <x:v>28.747313999999999</x:v>
      </x:c>
      <x:c r="R38" t="str">
        <x:v>NOT_CHECKED_AGAINST_LIVE_72</x:v>
      </x:c>
      <x:c r="S38" s="11" t="str">
        <x:v>NO</x:v>
      </x:c>
      <x:c r="T38" t="str"/>
      <x:c r="U38" t="str"/>
      <x:c r="V38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38" s="15" t="str">
        <x:v>REVIEW — DO NOT IMPORT</x:v>
      </x:c>
    </x:row>
    <x:row r="39" ht="28" customHeight="1">
      <x:c r="A39" t="str">
        <x:v>B3-R-038</x:v>
      </x:c>
      <x:c r="B39" t="str">
        <x:v>Gaziosmanpaşa Eğitim ve Araştırma Hastanesi</x:v>
      </x:c>
      <x:c r="C39" t="str">
        <x:v>HOSPITAL</x:v>
      </x:c>
      <x:c r="D39" t="str">
        <x:v>İstanbul</x:v>
      </x:c>
      <x:c r="E39" t="str"/>
      <x:c r="F39" t="str"/>
      <x:c r="G39" t="str">
        <x:v>https://gopeah.saglik.gov.tr/</x:v>
      </x:c>
      <x:c r="H39" t="str">
        <x:v>OFFICIAL_DIRECTORY_LINK_NOT_SITE_TESTED</x:v>
      </x:c>
      <x:c r="I39" t="str">
        <x:v>https://istanbulism.saglik.gov.tr/TR-228401/baskanlik-bolgesinde-hizmet-veren-hastaneler.html</x:v>
      </x:c>
      <x:c r="J39" t="str">
        <x:v>2021-12-01</x:v>
      </x:c>
      <x:c r="K39" t="str">
        <x:v>NOT_INDIVIDUALLY_VERIFIED_2026</x:v>
      </x:c>
      <x:c r="L39" t="str">
        <x:v>NO_RELIABLE_IBB_MATCH</x:v>
      </x:c>
      <x:c r="M39" t="str"/>
      <x:c r="N39" t="str"/>
      <x:c r="O39" t="str"/>
      <x:c r="P39" t="str"/>
      <x:c r="Q39" t="str"/>
      <x:c r="R39" t="str">
        <x:v>NOT_CHECKED_AGAINST_LIVE_72</x:v>
      </x:c>
      <x:c r="S39" s="11" t="str">
        <x:v>NO</x:v>
      </x:c>
      <x:c r="T39" t="str"/>
      <x:c r="U39" t="str">
        <x:v>MISSING_HISTORIC_LOCATION</x:v>
      </x:c>
      <x:c r="V39" s="8" t="str">
        <x:v>İSM güncel erişilebilir sayfada kurumu ve resmî bağlantıyı listeliyor; sayfanın tarihi faaliyet ve şube için yeterli değil. Tarihî İBB kaydında güvenilir tekil eşleşme bulunamadı.</x:v>
      </x:c>
      <x:c r="W39" s="15" t="str">
        <x:v>REVIEW — DO NOT IMPORT</x:v>
      </x:c>
    </x:row>
    <x:row r="40" ht="28" customHeight="1">
      <x:c r="A40" t="str">
        <x:v>B3-R-039</x:v>
      </x:c>
      <x:c r="B40" t="str">
        <x:v>Topçular Ağız ve Diş Sağlığı Merkezi</x:v>
      </x:c>
      <x:c r="C40" t="str">
        <x:v>CLINIC</x:v>
      </x:c>
      <x:c r="D40" t="str">
        <x:v>İstanbul</x:v>
      </x:c>
      <x:c r="E40" t="str"/>
      <x:c r="F40" t="str"/>
      <x:c r="G40" t="str">
        <x:v>https://topcularadsm.saglik.gov.tr/</x:v>
      </x:c>
      <x:c r="H40" t="str">
        <x:v>OFFICIAL_DIRECTORY_LINK_NOT_SITE_TESTED</x:v>
      </x:c>
      <x:c r="I40" t="str">
        <x:v>https://istanbulism.saglik.gov.tr/TR-228401/baskanlik-bolgesinde-hizmet-veren-hastaneler.html</x:v>
      </x:c>
      <x:c r="J40" t="str">
        <x:v>2021-12-01</x:v>
      </x:c>
      <x:c r="K40" t="str">
        <x:v>NOT_INDIVIDUALLY_VERIFIED_2026</x:v>
      </x:c>
      <x:c r="L40" t="str">
        <x:v>HISTORICAL_IBB_MATCH</x:v>
      </x:c>
      <x:c r="M40" t="str">
        <x:v>Topçular Ağız ve Diş Sağlığı Merkezi</x:v>
      </x:c>
      <x:c r="N40" t="str">
        <x:v>BAYRAMPAŞA</x:v>
      </x:c>
      <x:c r="O40" t="str">
        <x:v>Abdi İpekçi Cad. No:167 YENİDOĞAN/BAYRAMPAŞA</x:v>
      </x:c>
      <x:c r="P40" t="str">
        <x:v>41.047671999999999</x:v>
      </x:c>
      <x:c r="Q40" t="str">
        <x:v>28.913526999999998</x:v>
      </x:c>
      <x:c r="R40" t="str">
        <x:v>NOT_CHECKED_AGAINST_LIVE_72</x:v>
      </x:c>
      <x:c r="S40" s="11" t="str">
        <x:v>NO</x:v>
      </x:c>
      <x:c r="T40" t="str"/>
      <x:c r="U40" t="str"/>
      <x:c r="V40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0" s="15" t="str">
        <x:v>REVIEW — DO NOT IMPORT</x:v>
      </x:c>
    </x:row>
    <x:row r="41" ht="28" customHeight="1">
      <x:c r="A41" t="str">
        <x:v>B3-R-040</x:v>
      </x:c>
      <x:c r="B41" t="str">
        <x:v>Sultangazi Ağız ve Diş Sağlığı Hastanesi</x:v>
      </x:c>
      <x:c r="C41" t="str">
        <x:v>CLINIC</x:v>
      </x:c>
      <x:c r="D41" t="str">
        <x:v>İstanbul</x:v>
      </x:c>
      <x:c r="E41" t="str"/>
      <x:c r="F41" t="str"/>
      <x:c r="G41" t="str">
        <x:v>https://sultangaziadsh.saglik.gov.tr/</x:v>
      </x:c>
      <x:c r="H41" t="str">
        <x:v>OFFICIAL_DIRECTORY_LINK_NOT_SITE_TESTED</x:v>
      </x:c>
      <x:c r="I41" t="str">
        <x:v>https://istanbulism.saglik.gov.tr/TR-228401/baskanlik-bolgesinde-hizmet-veren-hastaneler.html</x:v>
      </x:c>
      <x:c r="J41" t="str">
        <x:v>2021-12-01</x:v>
      </x:c>
      <x:c r="K41" t="str">
        <x:v>NOT_INDIVIDUALLY_VERIFIED_2026</x:v>
      </x:c>
      <x:c r="L41" t="str">
        <x:v>NO_RELIABLE_IBB_MATCH</x:v>
      </x:c>
      <x:c r="M41" t="str"/>
      <x:c r="N41" t="str"/>
      <x:c r="O41" t="str"/>
      <x:c r="P41" t="str"/>
      <x:c r="Q41" t="str"/>
      <x:c r="R41" t="str">
        <x:v>NOT_CHECKED_AGAINST_LIVE_72</x:v>
      </x:c>
      <x:c r="S41" s="11" t="str">
        <x:v>NO</x:v>
      </x:c>
      <x:c r="T41" t="str"/>
      <x:c r="U41" t="str">
        <x:v>MISSING_HISTORIC_LOCATION</x:v>
      </x:c>
      <x:c r="V41" s="8" t="str">
        <x:v>İSM güncel erişilebilir sayfada kurumu ve resmî bağlantıyı listeliyor; sayfanın tarihi faaliyet ve şube için yeterli değil. Tarihî İBB kaydında güvenilir tekil eşleşme bulunamadı.</x:v>
      </x:c>
      <x:c r="W41" s="15" t="str">
        <x:v>REVIEW — DO NOT IMPORT</x:v>
      </x:c>
    </x:row>
    <x:row r="42" ht="28" customHeight="1">
      <x:c r="A42" t="str">
        <x:v>B3-R-041</x:v>
      </x:c>
      <x:c r="B42" t="str">
        <x:v>Avcılar Murat Kölük Devlet Hastanesi</x:v>
      </x:c>
      <x:c r="C42" t="str">
        <x:v>HOSPITAL</x:v>
      </x:c>
      <x:c r="D42" t="str">
        <x:v>İstanbul</x:v>
      </x:c>
      <x:c r="E42" t="str"/>
      <x:c r="F42" t="str"/>
      <x:c r="G42" t="str">
        <x:v>https://avcilardh.saglik.gov.tr/</x:v>
      </x:c>
      <x:c r="H42" t="str">
        <x:v>OFFICIAL_DIRECTORY_LINK_NOT_SITE_TESTED</x:v>
      </x:c>
      <x:c r="I42" t="str">
        <x:v>https://istanbulism.saglik.gov.tr/TR-228409/baskanlik-bolgesinde-hizmet-veren-hastaneler.html</x:v>
      </x:c>
      <x:c r="J42" t="str">
        <x:v>2025-10-02</x:v>
      </x:c>
      <x:c r="K42" t="str">
        <x:v>NOT_INDIVIDUALLY_VERIFIED_2026</x:v>
      </x:c>
      <x:c r="L42" t="str">
        <x:v>HISTORICAL_IBB_MATCH</x:v>
      </x:c>
      <x:c r="M42" t="str">
        <x:v>T.C. Sağlık Bakanlığı Avcılar Murat Kölük Devlet Hastanesi</x:v>
      </x:c>
      <x:c r="N42" t="str">
        <x:v>AVCILAR</x:v>
      </x:c>
      <x:c r="O42" t="str">
        <x:v>Yeni Yuva Sk. No:4 ÜNİVERSİTE/AVCILAR</x:v>
      </x:c>
      <x:c r="P42" t="str">
        <x:v>40.984575999999997</x:v>
      </x:c>
      <x:c r="Q42" t="str">
        <x:v>28.731283000000001</x:v>
      </x:c>
      <x:c r="R42" t="str">
        <x:v>NOT_CHECKED_AGAINST_LIVE_72</x:v>
      </x:c>
      <x:c r="S42" s="11" t="str">
        <x:v>NO</x:v>
      </x:c>
      <x:c r="T42" t="str"/>
      <x:c r="U42" t="str"/>
      <x:c r="V4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2" s="15" t="str">
        <x:v>REVIEW — DO NOT IMPORT</x:v>
      </x:c>
    </x:row>
    <x:row r="43" ht="28" customHeight="1">
      <x:c r="A43" t="str">
        <x:v>B3-R-042</x:v>
      </x:c>
      <x:c r="B43" t="str">
        <x:v>Başakşehir Devlet Hastanesi</x:v>
      </x:c>
      <x:c r="C43" t="str">
        <x:v>HOSPITAL</x:v>
      </x:c>
      <x:c r="D43" t="str">
        <x:v>İstanbul</x:v>
      </x:c>
      <x:c r="E43" t="str"/>
      <x:c r="F43" t="str"/>
      <x:c r="G43" t="str">
        <x:v>https://basaksehirdh.saglik.gov.tr/</x:v>
      </x:c>
      <x:c r="H43" t="str">
        <x:v>OFFICIAL_DIRECTORY_LINK_NOT_SITE_TESTED</x:v>
      </x:c>
      <x:c r="I43" t="str">
        <x:v>https://istanbulism.saglik.gov.tr/TR-228409/baskanlik-bolgesinde-hizmet-veren-hastaneler.html</x:v>
      </x:c>
      <x:c r="J43" t="str">
        <x:v>2025-10-02</x:v>
      </x:c>
      <x:c r="K43" t="str">
        <x:v>NOT_INDIVIDUALLY_VERIFIED_2026</x:v>
      </x:c>
      <x:c r="L43" t="str">
        <x:v>HISTORICAL_IBB_MATCH</x:v>
      </x:c>
      <x:c r="M43" t="str">
        <x:v>T.C. Sağlık Bakanlığı Başakşehir Devlet Hastanesi</x:v>
      </x:c>
      <x:c r="N43" t="str">
        <x:v>BAŞAKŞEHİR</x:v>
      </x:c>
      <x:c r="O43" t="str">
        <x:v>Yunus Emre Cad. No:35 A BAŞAK/BAŞAKŞEHİR</x:v>
      </x:c>
      <x:c r="P43" t="str">
        <x:v>41.118189000000001</x:v>
      </x:c>
      <x:c r="Q43" t="str">
        <x:v>28.80885</x:v>
      </x:c>
      <x:c r="R43" t="str">
        <x:v>NOT_CHECKED_AGAINST_LIVE_72</x:v>
      </x:c>
      <x:c r="S43" s="11" t="str">
        <x:v>NO</x:v>
      </x:c>
      <x:c r="T43" t="str"/>
      <x:c r="U43" t="str"/>
      <x:c r="V43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3" s="15" t="str">
        <x:v>REVIEW — DO NOT IMPORT</x:v>
      </x:c>
    </x:row>
    <x:row r="44" ht="28" customHeight="1">
      <x:c r="A44" t="str">
        <x:v>B3-R-043</x:v>
      </x:c>
      <x:c r="B44" t="str">
        <x:v>Beylikdüzü Devlet Hastanesi</x:v>
      </x:c>
      <x:c r="C44" t="str">
        <x:v>HOSPITAL</x:v>
      </x:c>
      <x:c r="D44" t="str">
        <x:v>İstanbul</x:v>
      </x:c>
      <x:c r="E44" t="str"/>
      <x:c r="F44" t="str"/>
      <x:c r="G44" t="str">
        <x:v>https://beylikduzudh.saglik.gov.tr/</x:v>
      </x:c>
      <x:c r="H44" t="str">
        <x:v>OFFICIAL_DIRECTORY_LINK_NOT_SITE_TESTED</x:v>
      </x:c>
      <x:c r="I44" t="str">
        <x:v>https://istanbulism.saglik.gov.tr/TR-228409/baskanlik-bolgesinde-hizmet-veren-hastaneler.html</x:v>
      </x:c>
      <x:c r="J44" t="str">
        <x:v>2025-10-02</x:v>
      </x:c>
      <x:c r="K44" t="str">
        <x:v>NOT_INDIVIDUALLY_VERIFIED_2026</x:v>
      </x:c>
      <x:c r="L44" t="str">
        <x:v>HISTORICAL_IBB_MATCH</x:v>
      </x:c>
      <x:c r="M44" t="str">
        <x:v>Beylikdüzü Devlet Hastanesi</x:v>
      </x:c>
      <x:c r="N44" t="str">
        <x:v>BÜYÜKÇEKMECE</x:v>
      </x:c>
      <x:c r="O44" t="str">
        <x:v>Yavuz Sultan Selim Bulvarı No:12 PINARTEPE/BÜYÜKÇEKMECE</x:v>
      </x:c>
      <x:c r="P44" t="str">
        <x:v>41.014837999999997</x:v>
      </x:c>
      <x:c r="Q44" t="str">
        <x:v>28.625170000000001</x:v>
      </x:c>
      <x:c r="R44" t="str">
        <x:v>NOT_CHECKED_AGAINST_LIVE_72</x:v>
      </x:c>
      <x:c r="S44" s="11" t="str">
        <x:v>NO</x:v>
      </x:c>
      <x:c r="T44" t="str"/>
      <x:c r="U44" t="str">
        <x:v>; DISTRICT_NAMING_CONFLICT</x:v>
      </x:c>
      <x:c r="V44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4" s="15" t="str">
        <x:v>REVIEW — DO NOT IMPORT</x:v>
      </x:c>
    </x:row>
    <x:row r="45" ht="28" customHeight="1">
      <x:c r="A45" t="str">
        <x:v>B3-R-044</x:v>
      </x:c>
      <x:c r="B45" t="str">
        <x:v>Çatalca İlyas Çokay Devlet Hastanesi</x:v>
      </x:c>
      <x:c r="C45" t="str">
        <x:v>HOSPITAL</x:v>
      </x:c>
      <x:c r="D45" t="str">
        <x:v>İstanbul</x:v>
      </x:c>
      <x:c r="E45" t="str"/>
      <x:c r="F45" t="str"/>
      <x:c r="G45" t="str">
        <x:v>https://catalcadh.saglik.gov.tr/</x:v>
      </x:c>
      <x:c r="H45" t="str">
        <x:v>OFFICIAL_DIRECTORY_LINK_NOT_SITE_TESTED</x:v>
      </x:c>
      <x:c r="I45" t="str">
        <x:v>https://istanbulism.saglik.gov.tr/TR-228409/baskanlik-bolgesinde-hizmet-veren-hastaneler.html</x:v>
      </x:c>
      <x:c r="J45" t="str">
        <x:v>2025-10-02</x:v>
      </x:c>
      <x:c r="K45" t="str">
        <x:v>NOT_INDIVIDUALLY_VERIFIED_2026</x:v>
      </x:c>
      <x:c r="L45" t="str">
        <x:v>HISTORICAL_IBB_MATCH</x:v>
      </x:c>
      <x:c r="M45" t="str">
        <x:v>T.C. Sağlık Bakanlığı Çatalca İlyas Çokay Devlet Hastanesi</x:v>
      </x:c>
      <x:c r="N45" t="str">
        <x:v>ÇATALCA</x:v>
      </x:c>
      <x:c r="O45" t="str">
        <x:v>Atatürk Cad. No:113 FERHATPAŞA/ÇATALCA</x:v>
      </x:c>
      <x:c r="P45" t="str">
        <x:v>41.135646000000001</x:v>
      </x:c>
      <x:c r="Q45" t="str">
        <x:v>28.466837999999999</x:v>
      </x:c>
      <x:c r="R45" t="str">
        <x:v>NOT_CHECKED_AGAINST_LIVE_72</x:v>
      </x:c>
      <x:c r="S45" s="11" t="str">
        <x:v>NO</x:v>
      </x:c>
      <x:c r="T45" t="str"/>
      <x:c r="U45" t="str"/>
      <x:c r="V45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5" s="15" t="str">
        <x:v>REVIEW — DO NOT IMPORT</x:v>
      </x:c>
    </x:row>
    <x:row r="46" ht="28" customHeight="1">
      <x:c r="A46" t="str">
        <x:v>B3-R-045</x:v>
      </x:c>
      <x:c r="B46" t="str">
        <x:v>Esenyurt Necmi Kadıoğlu Devlet Hastanesi</x:v>
      </x:c>
      <x:c r="C46" t="str">
        <x:v>HOSPITAL</x:v>
      </x:c>
      <x:c r="D46" t="str">
        <x:v>İstanbul</x:v>
      </x:c>
      <x:c r="E46" t="str"/>
      <x:c r="F46" t="str"/>
      <x:c r="G46" t="str">
        <x:v>https://esenyurtdh.saglik.gov.tr/</x:v>
      </x:c>
      <x:c r="H46" t="str">
        <x:v>OFFICIAL_DIRECTORY_LINK_NOT_SITE_TESTED</x:v>
      </x:c>
      <x:c r="I46" t="str">
        <x:v>https://istanbulism.saglik.gov.tr/TR-228409/baskanlik-bolgesinde-hizmet-veren-hastaneler.html</x:v>
      </x:c>
      <x:c r="J46" t="str">
        <x:v>2025-10-02</x:v>
      </x:c>
      <x:c r="K46" t="str">
        <x:v>NOT_INDIVIDUALLY_VERIFIED_2026</x:v>
      </x:c>
      <x:c r="L46" t="str">
        <x:v>MULTIPLE_IBB_MATCHES</x:v>
      </x:c>
      <x:c r="M46" t="str">
        <x:v>T.C. Sağlık Bakanlığı Esenyurt Necmi Kadıoğlu Devlet Hastanesi</x:v>
      </x:c>
      <x:c r="N46" t="str">
        <x:v>ESENYURT</x:v>
      </x:c>
      <x:c r="O46" t="str">
        <x:v>Ondokuz Mayıs Bulvarı No:59 FATİH/ESENYURT</x:v>
      </x:c>
      <x:c r="P46" t="str">
        <x:v>41.028891000000002</x:v>
      </x:c>
      <x:c r="Q46" t="str">
        <x:v>28.667922999999998</x:v>
      </x:c>
      <x:c r="R46" t="str">
        <x:v>NOT_CHECKED_AGAINST_LIVE_72</x:v>
      </x:c>
      <x:c r="S46" s="11" t="str">
        <x:v>NO</x:v>
      </x:c>
      <x:c r="T46" t="str"/>
      <x:c r="U46" t="str">
        <x:v>MULTIPLE_HISTORIC_LOCATIONS</x:v>
      </x:c>
      <x:c r="V46" s="8" t="str">
        <x:v>İSM güncel erişilebilir sayfada kurumu ve resmî bağlantıyı listeliyor; sayfanın tarihi faaliyet ve şube için yeterli değil. İBB dosyasında birden fazla ad/adres eşleşmesi: manuel kampüs kontrolü zorunlu.</x:v>
      </x:c>
      <x:c r="W46" s="15" t="str">
        <x:v>REVIEW — DO NOT IMPORT</x:v>
      </x:c>
    </x:row>
    <x:row r="47" ht="28" customHeight="1">
      <x:c r="A47" t="str">
        <x:v>B3-R-046</x:v>
      </x:c>
      <x:c r="B47" t="str">
        <x:v>Silivri Devlet Hastanesi</x:v>
      </x:c>
      <x:c r="C47" t="str">
        <x:v>HOSPITAL</x:v>
      </x:c>
      <x:c r="D47" t="str">
        <x:v>İstanbul</x:v>
      </x:c>
      <x:c r="E47" t="str"/>
      <x:c r="F47" t="str"/>
      <x:c r="G47" t="str">
        <x:v>https://silivridh.saglik.gov.tr/</x:v>
      </x:c>
      <x:c r="H47" t="str">
        <x:v>OFFICIAL_DIRECTORY_LINK_NOT_SITE_TESTED</x:v>
      </x:c>
      <x:c r="I47" t="str">
        <x:v>https://istanbulism.saglik.gov.tr/TR-228409/baskanlik-bolgesinde-hizmet-veren-hastaneler.html</x:v>
      </x:c>
      <x:c r="J47" t="str">
        <x:v>2025-10-02</x:v>
      </x:c>
      <x:c r="K47" t="str">
        <x:v>NOT_INDIVIDUALLY_VERIFIED_2026</x:v>
      </x:c>
      <x:c r="L47" t="str">
        <x:v>HISTORICAL_IBB_MATCH</x:v>
      </x:c>
      <x:c r="M47" t="str">
        <x:v>T.C. Sağlık Bakanlığı Silivri Devlet Hastanesi</x:v>
      </x:c>
      <x:c r="N47" t="str">
        <x:v>SİLİVRİ</x:v>
      </x:c>
      <x:c r="O47" t="str">
        <x:v>Nedim Beyazgül Sk. No:4</x:v>
      </x:c>
      <x:c r="P47" t="str">
        <x:v>41.078028000000003</x:v>
      </x:c>
      <x:c r="Q47" t="str">
        <x:v>28.250095999999999</x:v>
      </x:c>
      <x:c r="R47" t="str">
        <x:v>NOT_CHECKED_AGAINST_LIVE_72</x:v>
      </x:c>
      <x:c r="S47" s="11" t="str">
        <x:v>NO</x:v>
      </x:c>
      <x:c r="T47" t="str"/>
      <x:c r="U47" t="str"/>
      <x:c r="V47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7" s="15" t="str">
        <x:v>REVIEW — DO NOT IMPORT</x:v>
      </x:c>
    </x:row>
    <x:row r="48" ht="28" customHeight="1">
      <x:c r="A48" t="str">
        <x:v>B3-R-047</x:v>
      </x:c>
      <x:c r="B48" t="str">
        <x:v>Büyükçekmece Mimar Sinan Devlet Hastanesi</x:v>
      </x:c>
      <x:c r="C48" t="str">
        <x:v>HOSPITAL</x:v>
      </x:c>
      <x:c r="D48" t="str">
        <x:v>İstanbul</x:v>
      </x:c>
      <x:c r="E48" t="str"/>
      <x:c r="F48" t="str"/>
      <x:c r="G48" t="str">
        <x:v>https://buyukcekmecedh.saglik.gov.tr/</x:v>
      </x:c>
      <x:c r="H48" t="str">
        <x:v>OFFICIAL_DIRECTORY_LINK_NOT_SITE_TESTED</x:v>
      </x:c>
      <x:c r="I48" t="str">
        <x:v>https://istanbulism.saglik.gov.tr/TR-228409/baskanlik-bolgesinde-hizmet-veren-hastaneler.html</x:v>
      </x:c>
      <x:c r="J48" t="str">
        <x:v>2025-10-02</x:v>
      </x:c>
      <x:c r="K48" t="str">
        <x:v>NOT_INDIVIDUALLY_VERIFIED_2026</x:v>
      </x:c>
      <x:c r="L48" t="str">
        <x:v>HISTORICAL_IBB_MATCH</x:v>
      </x:c>
      <x:c r="M48" t="str">
        <x:v>Büyükçekmece Mimar Sinan Devlet Hastanesi</x:v>
      </x:c>
      <x:c r="N48" t="str">
        <x:v>BÜYÜKÇEKMECE</x:v>
      </x:c>
      <x:c r="O48" t="str">
        <x:v>Eski Silivri Cad. No:39 MİMAR SİNAN/BÜYÜKÇEKMECE</x:v>
      </x:c>
      <x:c r="P48" t="str">
        <x:v>41.017477</x:v>
      </x:c>
      <x:c r="Q48" t="str">
        <x:v>28.555748999999999</x:v>
      </x:c>
      <x:c r="R48" t="str">
        <x:v>NOT_CHECKED_AGAINST_LIVE_72</x:v>
      </x:c>
      <x:c r="S48" s="11" t="str">
        <x:v>NO</x:v>
      </x:c>
      <x:c r="T48" t="str"/>
      <x:c r="U48" t="str"/>
      <x:c r="V48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48" s="15" t="str">
        <x:v>REVIEW — DO NOT IMPORT</x:v>
      </x:c>
    </x:row>
    <x:row r="49" ht="28" customHeight="1">
      <x:c r="A49" t="str">
        <x:v>B3-R-048</x:v>
      </x:c>
      <x:c r="B49" t="str">
        <x:v>Başakşehir Çam ve Sakura Şehir Hastanesi</x:v>
      </x:c>
      <x:c r="C49" t="str">
        <x:v>HOSPITAL</x:v>
      </x:c>
      <x:c r="D49" t="str">
        <x:v>İstanbul</x:v>
      </x:c>
      <x:c r="E49" t="str"/>
      <x:c r="F49" t="str"/>
      <x:c r="G49" t="str">
        <x:v>https://camsakurasehir.saglik.gov.tr/</x:v>
      </x:c>
      <x:c r="H49" t="str">
        <x:v>OFFICIAL_DIRECTORY_LINK_NOT_SITE_TESTED</x:v>
      </x:c>
      <x:c r="I49" t="str">
        <x:v>https://istanbulism.saglik.gov.tr/TR-228409/baskanlik-bolgesinde-hizmet-veren-hastaneler.html</x:v>
      </x:c>
      <x:c r="J49" t="str">
        <x:v>2025-10-02</x:v>
      </x:c>
      <x:c r="K49" t="str">
        <x:v>NOT_INDIVIDUALLY_VERIFIED_2026</x:v>
      </x:c>
      <x:c r="L49" t="str">
        <x:v>HISTORICAL_IBB_MATCH</x:v>
      </x:c>
      <x:c r="M49" t="str">
        <x:v>Başakşehir Çam ve Sakura Şehir Hastanesi</x:v>
      </x:c>
      <x:c r="N49" t="str">
        <x:v>BAŞAKŞEHİR</x:v>
      </x:c>
      <x:c r="O49" t="str">
        <x:v>Şehir Hastanesi Cad. No:2 L BAŞAKŞEHİR/BAŞAKŞEHİR</x:v>
      </x:c>
      <x:c r="P49" t="str">
        <x:v>41.105178000000002</x:v>
      </x:c>
      <x:c r="Q49" t="str">
        <x:v>28.776509000000001</x:v>
      </x:c>
      <x:c r="R49" t="str">
        <x:v>NOT_CHECKED_AGAINST_LIVE_72</x:v>
      </x:c>
      <x:c r="S49" s="11" t="str">
        <x:v>NO</x:v>
      </x:c>
      <x:c r="T49" t="str"/>
      <x:c r="U49" t="str">
        <x:v>; UNPUBLISHED_DEMO_ORG_SIMILAR_NAME</x:v>
      </x:c>
      <x:c r="V49" s="8" t="str">
        <x:v>İSM güncel erişilebilir sayfada kurumu ve resmî bağlantıyı listeliyor; sayfanın tarihi faaliyet ve şube için yeterli değil. İBB adres/koordinat önerisi tarihîdir, güncelliği doğrulanmadan aktarılmaz. Önceden gizlenmiş demo Organization adıyla çakışma olasılığı özel inceleme gerektirir.</x:v>
      </x:c>
      <x:c r="W49" s="15" t="str">
        <x:v>REVIEW — DO NOT IMPORT</x:v>
      </x:c>
    </x:row>
    <x:row r="50" ht="28" customHeight="1">
      <x:c r="A50" t="str">
        <x:v>B3-R-049</x:v>
      </x:c>
      <x:c r="B50" t="str">
        <x:v>Beylikdüzü Ağız ve Diş Sağlığı Merkezi</x:v>
      </x:c>
      <x:c r="C50" t="str">
        <x:v>CLINIC</x:v>
      </x:c>
      <x:c r="D50" t="str">
        <x:v>İstanbul</x:v>
      </x:c>
      <x:c r="E50" t="str"/>
      <x:c r="F50" t="str"/>
      <x:c r="G50" t="str">
        <x:v>https://beylikduzuadsm.saglik.gov.tr/</x:v>
      </x:c>
      <x:c r="H50" t="str">
        <x:v>OFFICIAL_DIRECTORY_LINK_NOT_SITE_TESTED</x:v>
      </x:c>
      <x:c r="I50" t="str">
        <x:v>https://istanbulism.saglik.gov.tr/TR-228409/baskanlik-bolgesinde-hizmet-veren-hastaneler.html</x:v>
      </x:c>
      <x:c r="J50" t="str">
        <x:v>2025-10-02</x:v>
      </x:c>
      <x:c r="K50" t="str">
        <x:v>NOT_INDIVIDUALLY_VERIFIED_2026</x:v>
      </x:c>
      <x:c r="L50" t="str">
        <x:v>HISTORICAL_IBB_MATCH</x:v>
      </x:c>
      <x:c r="M50" t="str">
        <x:v>Beylikdüzü Ağız ve Diş Sağlığı Merkezi</x:v>
      </x:c>
      <x:c r="N50" t="str">
        <x:v>BEYLİKDÜZÜ</x:v>
      </x:c>
      <x:c r="O50" t="str">
        <x:v>Destegül Sk. No:2 MARMARA/BEYLİKDÜZÜ</x:v>
      </x:c>
      <x:c r="P50" t="str">
        <x:v>40.983400000000003</x:v>
      </x:c>
      <x:c r="Q50" t="str">
        <x:v>28.677257000000001</x:v>
      </x:c>
      <x:c r="R50" t="str">
        <x:v>NOT_CHECKED_AGAINST_LIVE_72</x:v>
      </x:c>
      <x:c r="S50" s="11" t="str">
        <x:v>NO</x:v>
      </x:c>
      <x:c r="T50" t="str"/>
      <x:c r="U50" t="str"/>
      <x:c r="V50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50" s="15" t="str">
        <x:v>REVIEW — DO NOT IMPORT</x:v>
      </x:c>
    </x:row>
    <x:row r="51" ht="28" customHeight="1">
      <x:c r="A51" t="str">
        <x:v>B3-R-050</x:v>
      </x:c>
      <x:c r="B51" t="str">
        <x:v>Avcılar Ağız ve Diş Sağlığı Merkezi</x:v>
      </x:c>
      <x:c r="C51" t="str">
        <x:v>CLINIC</x:v>
      </x:c>
      <x:c r="D51" t="str">
        <x:v>İstanbul</x:v>
      </x:c>
      <x:c r="E51" t="str"/>
      <x:c r="F51" t="str"/>
      <x:c r="G51" t="str">
        <x:v>https://avcilaradsm.saglik.gov.tr/</x:v>
      </x:c>
      <x:c r="H51" t="str">
        <x:v>OFFICIAL_DIRECTORY_LINK_NOT_SITE_TESTED</x:v>
      </x:c>
      <x:c r="I51" t="str">
        <x:v>https://istanbulism.saglik.gov.tr/TR-228409/baskanlik-bolgesinde-hizmet-veren-hastaneler.html</x:v>
      </x:c>
      <x:c r="J51" t="str">
        <x:v>2025-10-02</x:v>
      </x:c>
      <x:c r="K51" t="str">
        <x:v>NOT_INDIVIDUALLY_VERIFIED_2026</x:v>
      </x:c>
      <x:c r="L51" t="str">
        <x:v>HISTORICAL_IBB_MATCH</x:v>
      </x:c>
      <x:c r="M51" t="str">
        <x:v>Avcılar Ağız ve Diş Sağlığı Merkezi</x:v>
      </x:c>
      <x:c r="N51" t="str">
        <x:v>AVCILAR</x:v>
      </x:c>
      <x:c r="O51" t="str">
        <x:v>Kirazlı Cad. No:60 CİHANGİR/AVCILAR</x:v>
      </x:c>
      <x:c r="P51" t="str">
        <x:v>40.987231000000001</x:v>
      </x:c>
      <x:c r="Q51" t="str">
        <x:v>28.710059999999999</x:v>
      </x:c>
      <x:c r="R51" t="str">
        <x:v>NOT_CHECKED_AGAINST_LIVE_72</x:v>
      </x:c>
      <x:c r="S51" s="11" t="str">
        <x:v>NO</x:v>
      </x:c>
      <x:c r="T51" t="str"/>
      <x:c r="U51" t="str"/>
      <x:c r="V51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51" s="15" t="str">
        <x:v>REVIEW — DO NOT IMPORT</x:v>
      </x:c>
    </x:row>
    <x:row r="52" ht="28" customHeight="1">
      <x:c r="A52" t="str">
        <x:v>B3-R-051</x:v>
      </x:c>
      <x:c r="B52" t="str">
        <x:v>Büyükçekmece Ağız ve Diş Sağlığı Merkezi</x:v>
      </x:c>
      <x:c r="C52" t="str">
        <x:v>CLINIC</x:v>
      </x:c>
      <x:c r="D52" t="str">
        <x:v>İstanbul</x:v>
      </x:c>
      <x:c r="E52" t="str"/>
      <x:c r="F52" t="str"/>
      <x:c r="G52" t="str">
        <x:v>https://buyukcekmeceadsm.saglik.gov.tr/</x:v>
      </x:c>
      <x:c r="H52" t="str">
        <x:v>OFFICIAL_DIRECTORY_LINK_NOT_SITE_TESTED</x:v>
      </x:c>
      <x:c r="I52" t="str">
        <x:v>https://istanbulism.saglik.gov.tr/TR-228409/baskanlik-bolgesinde-hizmet-veren-hastaneler.html</x:v>
      </x:c>
      <x:c r="J52" t="str">
        <x:v>2025-10-02</x:v>
      </x:c>
      <x:c r="K52" t="str">
        <x:v>NOT_INDIVIDUALLY_VERIFIED_2026</x:v>
      </x:c>
      <x:c r="L52" t="str">
        <x:v>HISTORICAL_IBB_MATCH</x:v>
      </x:c>
      <x:c r="M52" t="str">
        <x:v>Büyükçekmece Ağız ve Diş Sağlığı Merkezi</x:v>
      </x:c>
      <x:c r="N52" t="str">
        <x:v>BÜYÜKÇEKMECE</x:v>
      </x:c>
      <x:c r="O52" t="str">
        <x:v>Gölboyu Cad. No:11 DİZDARİYE/BÜYÜKÇEKMECE</x:v>
      </x:c>
      <x:c r="P52" t="str">
        <x:v>41.024177000000002</x:v>
      </x:c>
      <x:c r="Q52" t="str">
        <x:v>28.581776000000001</x:v>
      </x:c>
      <x:c r="R52" t="str">
        <x:v>NOT_CHECKED_AGAINST_LIVE_72</x:v>
      </x:c>
      <x:c r="S52" s="11" t="str">
        <x:v>NO</x:v>
      </x:c>
      <x:c r="T52" t="str"/>
      <x:c r="U52" t="str"/>
      <x:c r="V52" s="8" t="str">
        <x:v>İSM güncel erişilebilir sayfada kurumu ve resmî bağlantıyı listeliyor; sayfanın tarihi faaliyet ve şube için yeterli değil. İBB adres/koordinat önerisi tarihîdir, güncelliği doğrulanmadan aktarılmaz.</x:v>
      </x:c>
      <x:c r="W52" s="15" t="str">
        <x:v>REVIEW — DO NOT IMPORT</x:v>
      </x:c>
    </x:row>
    <x:row r="53" ht="28" customHeight="1">
      <x:c r="A53" t="str">
        <x:v>B3-R-052</x:v>
      </x:c>
      <x:c r="B53" t="str">
        <x:v>Koşuyolu Yüksek İhtisas Eğitim ve Araştırma Hastanesi</x:v>
      </x:c>
      <x:c r="C53" t="str">
        <x:v>HOSPITAL</x:v>
      </x:c>
      <x:c r="D53" t="str">
        <x:v>İstanbul</x:v>
      </x:c>
      <x:c r="E53" t="str">
        <x:v>Kartal</x:v>
      </x:c>
      <x:c r="F53" t="str">
        <x:v>Cevizli Mah., Denizer Cad., Cevizli Kavşağı No:2, Kartal / İstanbul</x:v>
      </x:c>
      <x:c r="G53" t="str">
        <x:v>https://kosuyolueah.saglik.gov.tr/</x:v>
      </x:c>
      <x:c r="H53" t="str">
        <x:v>OFFICIAL_DIRECTORY_LINK_AND_2026_SITE_ACTIVITY</x:v>
      </x:c>
      <x:c r="I53" t="str">
        <x:v>https://istanbulism.saglik.gov.tr/TR-228305/baskanlik-bolgesinde-hizmet-veren-hastaneler.html</x:v>
      </x:c>
      <x:c r="J53" t="str">
        <x:v>Belirtilmemiş</x:v>
      </x:c>
      <x:c r="K53" t="str">
        <x:v>RECENT_2026_OFFICIAL_CLINICAL_ACTIVITY</x:v>
      </x:c>
      <x:c r="L53" t="str">
        <x:v>NO_RELIABLE_IBB_MATCH</x:v>
      </x:c>
      <x:c r="M53" t="str"/>
      <x:c r="N53" t="str"/>
      <x:c r="O53" t="str"/>
      <x:c r="P53" t="str"/>
      <x:c r="Q53" t="str"/>
      <x:c r="R53" t="str">
        <x:v>NOT_CHECKED_AGAINST_LIVE_72</x:v>
      </x:c>
      <x:c r="S53" s="11" t="str">
        <x:v>NO</x:v>
      </x:c>
      <x:c r="T53" t="str">
        <x:v>https://kosuyolueah.saglik.gov.tr/TR-1607335/30092026.html</x:v>
      </x:c>
      <x:c r="U53" t="str">
        <x:v>SIMILAR_NAME_TO_BATCH2_UNIVERSITY_HOSPITAL</x:v>
      </x:c>
      <x:c r="V53" s="8" t="str">
        <x:v>2026 Eylül resmî etkinlik kanıtı; iletişim sayfasında Kartal yerleşkesi adresi mevcut. Batch 2 Yeditepe Koşuyolu ile aynı kurum kabul edilmemeli; DB eşleştirme zorunlu.</x:v>
      </x:c>
      <x:c r="W53" s="15" t="str">
        <x:v>REVIEW — DO NOT IMPORT</x:v>
      </x:c>
    </x:row>
    <x:row r="54" ht="28" customHeight="1">
      <x:c r="A54" t="str">
        <x:v>B3-R-053</x:v>
      </x:c>
      <x:c r="B54" t="str">
        <x:v>İstanbul Eğitim ve Araştırma Hastanesi (Samatya Merkez)</x:v>
      </x:c>
      <x:c r="C54" t="str">
        <x:v>HOSPITAL</x:v>
      </x:c>
      <x:c r="D54" t="str">
        <x:v>İstanbul</x:v>
      </x:c>
      <x:c r="E54" t="str">
        <x:v>Fatih</x:v>
      </x:c>
      <x:c r="F54" t="str">
        <x:v>Cerrahpaşa Mah., Org. Abdurrahman Nafiz Gürman Cad., Bina No:24, 34098 Fatih / İstanbul</x:v>
      </x:c>
      <x:c r="G54" t="str">
        <x:v>https://istanbuleah.saglik.gov.tr/</x:v>
      </x:c>
      <x:c r="H54" t="str">
        <x:v>OFFICIAL_DIRECTORY_LINK_AND_2026_BRANCH_CONTACT</x:v>
      </x:c>
      <x:c r="I54" t="str">
        <x:v>https://istanbulism.saglik.gov.tr/TR-228401/baskanlik-bolgesinde-hizmet-veren-hastaneler.html</x:v>
      </x:c>
      <x:c r="J54" t="str">
        <x:v>2021-12-01</x:v>
      </x:c>
      <x:c r="K54" t="str">
        <x:v>RECENT_2026_OFFICIAL_BRANCH_CONTACT</x:v>
      </x:c>
      <x:c r="L54" t="str">
        <x:v>NOT_NEEDED_SOURCE_HAS_RECENT_ADDRESS</x:v>
      </x:c>
      <x:c r="M54" t="str"/>
      <x:c r="N54" t="str"/>
      <x:c r="O54" t="str"/>
      <x:c r="P54" t="str"/>
      <x:c r="Q54" t="str"/>
      <x:c r="R54" t="str">
        <x:v>POTENTIAL_BATCH2_ALIAS_SAMATYA_EAH</x:v>
      </x:c>
      <x:c r="S54" s="11" t="str">
        <x:v>NO</x:v>
      </x:c>
      <x:c r="T54" t="str">
        <x:v>https://istanbuleah.saglik.gov.tr/TR-38139/samatya-merkez.html</x:v>
      </x:c>
      <x:c r="U54" t="str">
        <x:v>LIKELY_DUPLICATE_BATCH2_SAMATYA</x:v>
      </x:c>
      <x:c r="V54" s="8" t="str">
        <x:v>Batch 2 içinde Samatya EAH adıyla muhtemel aynı fiziksel tesis; kesinlikle yeni kayda dönüştürme, mevcut DB karşılaştırması ve gerekirse güncelleme incelemesi yap.</x:v>
      </x:c>
      <x:c r="W54" s="15" t="str">
        <x:v>POTENTIAL DUPLICATE — DO NOT IMPORT</x:v>
      </x:c>
    </x:row>
  </x:sheetData>
  <x:pageMargins left="0.7" right="0.7" top="0.75" bottom="0.75" header="0.3" footer="0.3"/>
  <x:tableParts count="1">
    <x:tablePart xmlns:r="http://schemas.openxmlformats.org/officeDocument/2006/relationships" r:id="Rbc66936920c840e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5" hidden="0" customWidth="1"/>
    <x:col min="3" max="3" width="20" hidden="0" customWidth="1"/>
    <x:col min="4" max="4" width="80" hidden="0" customWidth="1"/>
  </x:cols>
  <x:sheetData>
    <x:row r="1" ht="32" customHeight="1">
      <x:c r="A1" s="3" t="str">
        <x:v>Resmî kaynak</x:v>
      </x:c>
      <x:c r="B1" s="3" t="str">
        <x:v>Kaynak URL</x:v>
      </x:c>
      <x:c r="C1" s="3" t="str">
        <x:v>Sayfa tarihi</x:v>
      </x:c>
      <x:c r="D1" s="3" t="str">
        <x:v>Not</x:v>
      </x:c>
    </x:row>
    <x:row r="2" ht="29" customHeight="1">
      <x:c r="A2" t="str">
        <x:v>İSM KHB-1</x:v>
      </x:c>
      <x:c r="B2" t="str">
        <x:v>https://istanbulism.saglik.gov.tr/TR-228305/baskanlik-bolgesinde-hizmet-veren-hastaneler.html</x:v>
      </x:c>
      <x:c r="C2" t="str">
        <x:v>Belirtilmemiş</x:v>
      </x:c>
      <x:c r="D2" t="str">
        <x:v>Kuruma bağlı resmî siteler</x:v>
      </x:c>
    </x:row>
    <x:row r="3" ht="29" customHeight="1">
      <x:c r="A3" t="str">
        <x:v>İSM KHB-2</x:v>
      </x:c>
      <x:c r="B3" t="str">
        <x:v>https://istanbulism.saglik.gov.tr/TR-228348/baskanlik-bolgesinde-hizmet-veren-hastaneler.html</x:v>
      </x:c>
      <x:c r="C3" t="str">
        <x:v>2021-12-01</x:v>
      </x:c>
      <x:c r="D3" t="str">
        <x:v>Tarihî; güncel faaliyet ayrıca teyit edilmeli</x:v>
      </x:c>
    </x:row>
    <x:row r="4" ht="29" customHeight="1">
      <x:c r="A4" t="str">
        <x:v>İSM KHB-3</x:v>
      </x:c>
      <x:c r="B4" t="str">
        <x:v>https://istanbulism.saglik.gov.tr/TR-228379/baskanlik-bolgesinde-hizmet-veren-hastaneler.html</x:v>
      </x:c>
      <x:c r="C4" t="str">
        <x:v>2021-12-01</x:v>
      </x:c>
      <x:c r="D4" t="str">
        <x:v>Tarihî; güncel faaliyet ayrıca teyit edilmeli</x:v>
      </x:c>
    </x:row>
    <x:row r="5" ht="29" customHeight="1">
      <x:c r="A5" t="str">
        <x:v>İSM KHB-4</x:v>
      </x:c>
      <x:c r="B5" t="str">
        <x:v>https://istanbulism.saglik.gov.tr/TR-228391/baskanlik-bolgesinde-hizmet-veren-hastaneler.html</x:v>
      </x:c>
      <x:c r="C5" t="str">
        <x:v>2023-09-28</x:v>
      </x:c>
      <x:c r="D5" t="str">
        <x:v>Tarihî; güncel faaliyet ayrıca teyit edilmeli</x:v>
      </x:c>
    </x:row>
    <x:row r="6" ht="29" customHeight="1">
      <x:c r="A6" t="str">
        <x:v>İSM KHB-5</x:v>
      </x:c>
      <x:c r="B6" t="str">
        <x:v>https://istanbulism.saglik.gov.tr/TR-228401/baskanlik-bolgesinde-hizmet-veren-hastaneler.html</x:v>
      </x:c>
      <x:c r="C6" t="str">
        <x:v>2021-12-01</x:v>
      </x:c>
      <x:c r="D6" t="str">
        <x:v>İstanbul EAH Samatya, Batch 2 adını kontrol et</x:v>
      </x:c>
    </x:row>
    <x:row r="7" ht="29" customHeight="1">
      <x:c r="A7" t="str">
        <x:v>İSM KHB-6</x:v>
      </x:c>
      <x:c r="B7" t="str">
        <x:v>https://istanbulism.saglik.gov.tr/TR-228409/baskanlik-bolgesinde-hizmet-veren-hastaneler.html</x:v>
      </x:c>
      <x:c r="C7" t="str">
        <x:v>2025-10-02</x:v>
      </x:c>
      <x:c r="D7" t="str">
        <x:v>Başakşehir Çam Sakura kamu kurumu / demo adı benzerliği</x:v>
      </x:c>
    </x:row>
    <x:row r="8" ht="29" customHeight="1">
      <x:c r="A8" t="str">
        <x:v>Koşuyolu EAH güncel kanıt</x:v>
      </x:c>
      <x:c r="B8" t="str">
        <x:v>https://kosuyolueah.saglik.gov.tr/TR-1607335/30092026.html</x:v>
      </x:c>
      <x:c r="C8" t="str">
        <x:v>2026-09-30</x:v>
      </x:c>
      <x:c r="D8" t="str">
        <x:v>2026 hasta eğitimi</x:v>
      </x:c>
    </x:row>
    <x:row r="9" ht="29" customHeight="1">
      <x:c r="A9" t="str">
        <x:v>Koşuyolu EAH yerleşke</x:v>
      </x:c>
      <x:c r="B9" t="str">
        <x:v>https://kosuyolueah.saglik.gov.tr/TR-94758/iletisimulasim.html</x:v>
      </x:c>
      <x:c r="C9" t="str">
        <x:v>2024-06-28</x:v>
      </x:c>
      <x:c r="D9" t="str">
        <x:v>Kartal Cevizli şube adresi</x:v>
      </x:c>
    </x:row>
    <x:row r="10" ht="29" customHeight="1">
      <x:c r="A10" t="str">
        <x:v>İstanbul EAH Samatya merkez</x:v>
      </x:c>
      <x:c r="B10" t="str">
        <x:v>https://istanbuleah.saglik.gov.tr/TR-38139/samatya-merkez.html</x:v>
      </x:c>
      <x:c r="C10" t="str">
        <x:v>2026-10-05</x:v>
      </x:c>
      <x:c r="D10" t="str">
        <x:v>2026 tarihli resmî adres; Batch 2 alias</x:v>
      </x:c>
    </x:row>
    <x:row r="11" ht="29" customHeight="1">
      <x:c r="A11" t="str">
        <x:v>Esenler KDH doktorlar</x:v>
      </x:c>
      <x:c r="B11" t="str">
        <x:v>https://esenlerkdch.saglik.gov.tr/TR-1063322/doktorlarimiz.html</x:v>
      </x:c>
      <x:c r="C11" t="str">
        <x:v>2026-05-13</x:v>
      </x:c>
      <x:c r="D11" t="str">
        <x:v>2026 klinik faaliyet bilgisi</x:v>
      </x:c>
    </x:row>
    <x:row r="12" ht="29" customHeight="1">
      <x:c r="A12" t="str">
        <x:v>İBB tarihî kaynak</x:v>
      </x:c>
      <x:c r="B12" t="str">
        <x:v>ibb-saglik-tesisleri.xlsx</x:v>
      </x:c>
      <x:c r="C12" t="str">
        <x:v>Tarihî</x:v>
      </x:c>
      <x:c r="D12" t="str">
        <x:v>Kullanıcının yüklediği Excel; 20.469 kayıt; canlı durum verisi değil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0" hidden="0" customWidth="1"/>
    <x:col min="3" max="3" width="66" hidden="0" customWidth="1"/>
  </x:cols>
  <x:sheetData>
    <x:row r="1" ht="32" customHeight="1">
      <x:c r="A1" s="3" t="str">
        <x:v>Kontrol</x:v>
      </x:c>
      <x:c r="B1" s="3" t="str">
        <x:v>İstenen koşul / eylem</x:v>
      </x:c>
      <x:c r="C1" s="3" t="str">
        <x:v>Kural</x:v>
      </x:c>
    </x:row>
    <x:row r="2" ht="39" customHeight="1">
      <x:c r="A2" s="8" t="str">
        <x:v>Aktarım dosyası</x:v>
      </x:c>
      <x:c r="B2" s="8" t="str">
        <x:v>alumas_batch3_research_v3_NOT_FOR_IMPORT.csv</x:v>
      </x:c>
      <x:c r="C2" s="8" t="str">
        <x:v>BU DOSYAYI IMPORT ETME</x:v>
      </x:c>
    </x:row>
    <x:row r="3" ht="39" customHeight="1">
      <x:c r="A3" s="8" t="str">
        <x:v>Güncel faaliyet</x:v>
      </x:c>
      <x:c r="B3" s="8" t="str">
        <x:v>2026 resmî kurum, şube, ruhsat / hizmet kanıtı</x:v>
      </x:c>
      <x:c r="C3" s="8" t="str">
        <x:v>Belirsiz veya kapalı kurumlar yayına çıkmaz</x:v>
      </x:c>
    </x:row>
    <x:row r="4" ht="39" customHeight="1">
      <x:c r="A4" s="8" t="str">
        <x:v>Adres ve koordinat</x:v>
      </x:c>
      <x:c r="B4" s="8" t="str">
        <x:v>Güncel kurum kaynaklı yerleşke bilgisi; İBB tarihî öneridir</x:v>
      </x:c>
      <x:c r="C4" s="8" t="str">
        <x:v>Şube/adres teyidi yoksa REVIEW</x:v>
      </x:c>
    </x:row>
    <x:row r="5" ht="39" customHeight="1">
      <x:c r="A5" s="8" t="str">
        <x:v>Mükerrerlik</x:v>
      </x:c>
      <x:c r="B5" s="8" t="str">
        <x:v>72 harici kurumun tamamı (pasifler dahil) + 12 gizli demo kurum</x:v>
      </x:c>
      <x:c r="C5" s="8" t="str">
        <x:v>Aynı fiziki tesis için yeni kayıt oluşturma</x:v>
      </x:c>
    </x:row>
    <x:row r="6" ht="39" customHeight="1">
      <x:c r="A6" s="8" t="str">
        <x:v>Site ve mavi tik</x:v>
      </x:c>
      <x:c r="B6" s="8" t="str">
        <x:v>Resmî bağlantı ALUMAS doğrulaması değildir</x:v>
      </x:c>
      <x:c r="C6" s="8" t="str">
        <x:v>Mavi tik otomatik verilmez</x:v>
      </x:c>
    </x:row>
    <x:row r="7" ht="39" customHeight="1">
      <x:c r="A7" s="8" t="str">
        <x:v>Dizin tipi</x:v>
      </x:c>
      <x:c r="B7" s="8" t="str">
        <x:v>HOSPITAL / CLINIC vb. gerçek hizmet kategorisi</x:v>
      </x:c>
      <x:c r="C7" s="8" t="str">
        <x:v>ADSH / ADSM = CLINIC</x:v>
      </x:c>
    </x:row>
    <x:row r="8" ht="39" customHeight="1">
      <x:c r="A8" s="8" t="str">
        <x:v>externalRef</x:v>
      </x:c>
      <x:c r="B8" s="8" t="str">
        <x:v>Kalıcı ve deterministik gerçek kaynak kimliği</x:v>
      </x:c>
      <x:c r="C8" s="8" t="str">
        <x:v>Araştırma aday no’sunu kullanma</x:v>
      </x:c>
    </x:row>
    <x:row r="9" ht="39" customHeight="1">
      <x:c r="A9" s="8" t="str">
        <x:v>Importer</x:v>
      </x:c>
      <x:c r="B9" s="8" t="str">
        <x:v>Temiz ayrı approved CSV → dry-run → idempotency</x:v>
      </x:c>
      <x:c r="C9" s="8" t="str">
        <x:v>Gerekli onay olmadan apply yok</x:v>
      </x:c>
    </x:row>
    <x:row r="10" ht="39" customHeight="1">
      <x:c r="A10" s="8" t="str">
        <x:v>Veri güvenliği</x:v>
      </x:c>
      <x:c r="B10" s="8" t="str">
        <x:v>Kullanıcı / doktor / claim / aktif organizasyon değişikliği yok</x:v>
      </x:c>
      <x:c r="C10" s="8" t="str">
        <x:v>Kapanmışları yeniden etkinleştirme</x:v>
      </x:c>
    </x:row>
  </x:sheetData>
  <x:pageMargins left="0.7" right="0.7" top="0.75" bottom="0.75" header="0.3" footer="0.3"/>
</x:worksheet>
</file>